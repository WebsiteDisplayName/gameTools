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Programming\Personal\2b9d213a850917e150476cefdc28816abc6f407f1183888f534c8f4de35e03bc\unrelatedTools\"/>
    </mc:Choice>
  </mc:AlternateContent>
  <xr:revisionPtr revIDLastSave="0" documentId="13_ncr:1_{7B6710DE-D94B-49EA-A0A2-B293ED81BC1B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Notes" sheetId="6" r:id="rId1"/>
    <sheet name="experience" sheetId="8" r:id="rId2"/>
    <sheet name="vals" sheetId="1" r:id="rId3"/>
    <sheet name="ingredient table" sheetId="4" r:id="rId4"/>
    <sheet name="profit calc buy inputs" sheetId="5" r:id="rId5"/>
    <sheet name="profit calc produce inputs" sheetId="7" r:id="rId6"/>
  </sheets>
  <definedNames>
    <definedName name="itemNames">vals!$A$8:$A$200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15" i="7" l="1"/>
  <c r="K15" i="7" s="1"/>
  <c r="J22" i="7"/>
  <c r="I22" i="7"/>
  <c r="J21" i="7"/>
  <c r="I21" i="7"/>
  <c r="J20" i="7"/>
  <c r="I20" i="7"/>
  <c r="J19" i="7"/>
  <c r="H19" i="7"/>
  <c r="G19" i="7"/>
  <c r="I19" i="7" s="1"/>
  <c r="J18" i="7"/>
  <c r="H18" i="7"/>
  <c r="G18" i="7"/>
  <c r="I18" i="7" s="1"/>
  <c r="J17" i="7"/>
  <c r="H17" i="7"/>
  <c r="G17" i="7"/>
  <c r="I17" i="7" s="1"/>
  <c r="J16" i="7"/>
  <c r="H16" i="7"/>
  <c r="G16" i="7"/>
  <c r="I16" i="7" s="1"/>
  <c r="H15" i="7"/>
  <c r="G15" i="7"/>
  <c r="I15" i="7" s="1"/>
  <c r="J15" i="5"/>
  <c r="K15" i="5" s="1"/>
  <c r="H19" i="5"/>
  <c r="H18" i="5"/>
  <c r="H17" i="5"/>
  <c r="H16" i="5"/>
  <c r="H15" i="5"/>
  <c r="G19" i="5"/>
  <c r="I19" i="5" s="1"/>
  <c r="G18" i="5"/>
  <c r="I18" i="5" s="1"/>
  <c r="G17" i="5"/>
  <c r="I17" i="5" s="1"/>
  <c r="G16" i="5"/>
  <c r="I16" i="5" s="1"/>
  <c r="G15" i="5"/>
  <c r="I15" i="5" s="1"/>
  <c r="J22" i="5"/>
  <c r="I22" i="5"/>
  <c r="J21" i="5"/>
  <c r="I21" i="5"/>
  <c r="J20" i="5"/>
  <c r="I20" i="5"/>
  <c r="J19" i="5"/>
  <c r="J18" i="5"/>
  <c r="J17" i="5"/>
  <c r="J16" i="5"/>
  <c r="N15" i="7" l="1"/>
  <c r="L15" i="7"/>
  <c r="M15" i="7" s="1"/>
  <c r="N15" i="5"/>
  <c r="L15" i="5"/>
  <c r="M15" i="5" s="1"/>
</calcChain>
</file>

<file path=xl/sharedStrings.xml><?xml version="1.0" encoding="utf-8"?>
<sst xmlns="http://schemas.openxmlformats.org/spreadsheetml/2006/main" count="186" uniqueCount="93">
  <si>
    <t>Item Name</t>
  </si>
  <si>
    <t>Category</t>
  </si>
  <si>
    <t>Last updated</t>
  </si>
  <si>
    <t>raw meat</t>
  </si>
  <si>
    <t>na</t>
  </si>
  <si>
    <t>coarse hide</t>
  </si>
  <si>
    <t>fine hide</t>
  </si>
  <si>
    <t>flawless hide</t>
  </si>
  <si>
    <t>animal fur</t>
  </si>
  <si>
    <t>animal fat</t>
  </si>
  <si>
    <t>animal</t>
  </si>
  <si>
    <t>rare hide</t>
  </si>
  <si>
    <t>bone</t>
  </si>
  <si>
    <t>tendon</t>
  </si>
  <si>
    <t>horn</t>
  </si>
  <si>
    <t>fang</t>
  </si>
  <si>
    <t>mining</t>
  </si>
  <si>
    <t>copper ore</t>
  </si>
  <si>
    <t>iron ore</t>
  </si>
  <si>
    <t>characteristics</t>
  </si>
  <si>
    <t>black iron ore</t>
  </si>
  <si>
    <t>meteoric iron ore</t>
  </si>
  <si>
    <t>min selling price</t>
  </si>
  <si>
    <t>jade</t>
  </si>
  <si>
    <t>brimstone</t>
  </si>
  <si>
    <t>saltpeter</t>
  </si>
  <si>
    <t>coal</t>
  </si>
  <si>
    <t>crude salt</t>
  </si>
  <si>
    <t>black stone</t>
  </si>
  <si>
    <t>clay</t>
  </si>
  <si>
    <t>kaolin</t>
  </si>
  <si>
    <t>realgar</t>
  </si>
  <si>
    <t>rubble</t>
  </si>
  <si>
    <t>sand</t>
  </si>
  <si>
    <t>gypsum</t>
  </si>
  <si>
    <t>stone</t>
  </si>
  <si>
    <t>complete stone</t>
  </si>
  <si>
    <t>rare stone</t>
  </si>
  <si>
    <t>cutin</t>
  </si>
  <si>
    <t>ingot</t>
  </si>
  <si>
    <t>steel ingot</t>
  </si>
  <si>
    <t>copper ingot</t>
  </si>
  <si>
    <t>iron ingot</t>
  </si>
  <si>
    <t>black iron ingot</t>
  </si>
  <si>
    <t>meteoric iron ingot</t>
  </si>
  <si>
    <t>input name</t>
  </si>
  <si>
    <t>output name</t>
  </si>
  <si>
    <t>input quantity</t>
  </si>
  <si>
    <t>market input price</t>
  </si>
  <si>
    <t>market output price</t>
  </si>
  <si>
    <t>Tax Rate</t>
  </si>
  <si>
    <t>implied market output price to break even</t>
  </si>
  <si>
    <t>output product</t>
  </si>
  <si>
    <t xml:space="preserve">name 1 </t>
  </si>
  <si>
    <t>quantity 1</t>
  </si>
  <si>
    <t>name 2</t>
  </si>
  <si>
    <t>quantity 2</t>
  </si>
  <si>
    <t>name 3</t>
  </si>
  <si>
    <t>quantity 3</t>
  </si>
  <si>
    <t>name 4</t>
  </si>
  <si>
    <t>quantity 4</t>
  </si>
  <si>
    <t>name 5</t>
  </si>
  <si>
    <t>quantity 5</t>
  </si>
  <si>
    <t>vegetable oil</t>
  </si>
  <si>
    <t>plant</t>
  </si>
  <si>
    <t>low-quality flax</t>
  </si>
  <si>
    <t>bark</t>
  </si>
  <si>
    <t>linen</t>
  </si>
  <si>
    <t>cloth</t>
  </si>
  <si>
    <t>coarse cloth</t>
  </si>
  <si>
    <t xml:space="preserve">common flax </t>
  </si>
  <si>
    <t>common flax</t>
  </si>
  <si>
    <t>raw leather</t>
  </si>
  <si>
    <t>Loop through Excel drop down list and copy/paste the value - Excel General - OzGrid Free Excel/VBA Help Forum</t>
  </si>
  <si>
    <t>How to Automatically Update Current Timestamp When another Cell Is Changed - Free Excel Tutorial (excelhow.net)</t>
  </si>
  <si>
    <t>manufacturing profit</t>
  </si>
  <si>
    <t>Manufacturing Profit</t>
  </si>
  <si>
    <t>after-tax income from selling at market price</t>
  </si>
  <si>
    <t>cost of production</t>
  </si>
  <si>
    <t>after-tax market output price</t>
  </si>
  <si>
    <t>At current crafting profiency, takes 3x less time to craft copper, e.g. 15 seconds w/ out using, 5 seconds using</t>
  </si>
  <si>
    <t>make new manufacturing calculator that instead of buying inputs from the market, you mine/produce the raw resources yourself</t>
  </si>
  <si>
    <t>the input cost of these items would be the profit from selling to the market, i.e. the market price*(1-tax rate)</t>
  </si>
  <si>
    <t>fix current calc macro, need to current 2 functions, rename the sheet inputs as I changed the sheet names</t>
  </si>
  <si>
    <t>run macro:
ctrl + m
or, developer &gt; macros &gt; buyInputs &gt; run</t>
  </si>
  <si>
    <t>run macro:
ctrl + p
or, developer &gt; macros &gt; produceInputs &gt; run</t>
  </si>
  <si>
    <t>xp/s</t>
  </si>
  <si>
    <t>total xp</t>
  </si>
  <si>
    <t>crafting time</t>
  </si>
  <si>
    <t>warrior</t>
  </si>
  <si>
    <t>lvl</t>
  </si>
  <si>
    <t>price</t>
  </si>
  <si>
    <t>bow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</si>
</sst>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,\ hh:mm:ss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22" fontId="0" fillId="0" borderId="0" xfId="0" applyNumberFormat="1"/>
    <xf numFmtId="0" fontId="2" fillId="0" borderId="0" xfId="0" applyFont="1"/>
    <xf numFmtId="9" fontId="0" fillId="0" borderId="0" xfId="0" applyNumberFormat="1"/>
    <xf numFmtId="4" fontId="0" fillId="0" borderId="0" xfId="0" applyNumberFormat="1"/>
    <xf numFmtId="0" fontId="0" fillId="0" borderId="0" xfId="0" applyNumberFormat="1"/>
    <xf numFmtId="0" fontId="2" fillId="3" borderId="0" xfId="0" applyFont="1" applyFill="1"/>
    <xf numFmtId="0" fontId="2" fillId="4" borderId="0" xfId="0" applyFont="1" applyFill="1"/>
    <xf numFmtId="0" fontId="2" fillId="5" borderId="0" xfId="0" applyFont="1" applyFill="1"/>
    <xf numFmtId="0" fontId="2" fillId="6" borderId="0" xfId="0" applyFont="1" applyFill="1"/>
    <xf numFmtId="0" fontId="3" fillId="0" borderId="0" xfId="1"/>
    <xf numFmtId="0" fontId="1" fillId="2" borderId="1" xfId="0" applyFont="1" applyFill="1" applyBorder="1"/>
    <xf numFmtId="0" fontId="1" fillId="2" borderId="2" xfId="0" applyFont="1" applyFill="1" applyBorder="1"/>
    <xf numFmtId="0" fontId="2" fillId="7" borderId="0" xfId="0" applyFont="1" applyFill="1"/>
    <xf numFmtId="0" fontId="0" fillId="8" borderId="0" xfId="0" applyFill="1"/>
    <xf numFmtId="164" fontId="0" fillId="8" borderId="0" xfId="0" applyNumberFormat="1" applyFill="1"/>
    <xf numFmtId="22" fontId="0" fillId="8" borderId="0" xfId="0" applyNumberFormat="1" applyFill="1"/>
    <xf numFmtId="0" fontId="0" fillId="9" borderId="0" xfId="0" applyFill="1"/>
    <xf numFmtId="22" fontId="0" fillId="9" borderId="0" xfId="0" applyNumberFormat="1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22" fontId="0" fillId="12" borderId="0" xfId="0" applyNumberFormat="1" applyFill="1"/>
    <xf numFmtId="164" fontId="0" fillId="11" borderId="0" xfId="0" applyNumberFormat="1" applyFill="1"/>
    <xf numFmtId="164" fontId="0" fillId="10" borderId="0" xfId="0" applyNumberFormat="1" applyFill="1"/>
    <xf numFmtId="3" fontId="0" fillId="0" borderId="0" xfId="0" applyNumberFormat="1"/>
    <xf numFmtId="0" fontId="0" fillId="3" borderId="0" xfId="0" applyFill="1" applyAlignment="1">
      <alignment horizontal="left" vertical="top" wrapText="1"/>
    </xf>
    <xf numFmtId="0" fontId="0" fillId="3" borderId="0" xfId="0" applyFill="1" applyAlignment="1">
      <alignment horizontal="left" vertical="top"/>
    </xf>
  </cellXfs>
  <cellStyles count="2">
    <cellStyle name="Hyperlink" xfId="1" builtinId="8"/>
    <cellStyle name="Normal" xfId="0" builtinId="0"/>
  </cellStyles>
  <dxfs count="21"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280AC4-A237-468B-B74F-2CE9C052ED05}" name="Table1" displayName="Table1" ref="A7:E200" totalsRowShown="0" headerRowDxfId="20">
  <autoFilter ref="A7:E200" xr:uid="{B7280AC4-A237-468B-B74F-2CE9C052ED05}"/>
  <sortState xmlns:xlrd2="http://schemas.microsoft.com/office/spreadsheetml/2017/richdata2" ref="A8:E80">
    <sortCondition ref="B7:B200"/>
  </sortState>
  <tableColumns count="5">
    <tableColumn id="1" xr3:uid="{02511A4C-907E-4265-B002-8CD8853B0324}" name="Item Name"/>
    <tableColumn id="2" xr3:uid="{0549DBE8-F7D3-440F-B1BD-FA4872F0E32A}" name="Category"/>
    <tableColumn id="3" xr3:uid="{8D9FD4F1-4DD1-4BCE-8C4D-5050F8C21EB5}" name="min selling price"/>
    <tableColumn id="4" xr3:uid="{654E8DE7-5892-474D-B7A6-BFA7B421CDE7}" name="Last updated"/>
    <tableColumn id="5" xr3:uid="{E36CBE27-3EA9-47C4-930A-30BD24D16782}" name="characteristics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F0016A1-758D-45C4-91BF-873B558EE650}" name="Table2" displayName="Table2" ref="D12:N200" totalsRowShown="0">
  <autoFilter ref="D12:N200" xr:uid="{9F0016A1-758D-45C4-91BF-873B558EE650}"/>
  <tableColumns count="11">
    <tableColumn id="1" xr3:uid="{CDD36B55-E45C-4797-8BC2-908676E9CE93}" name="output product"/>
    <tableColumn id="2" xr3:uid="{07C51DC1-2436-4688-A20D-64EA38DFFD4C}" name="name 1 "/>
    <tableColumn id="3" xr3:uid="{5B5D0FB5-C99A-4D88-9493-0BD0A3B8593F}" name="quantity 1"/>
    <tableColumn id="4" xr3:uid="{40FA93CE-66DB-4345-A4C4-84C9289AD731}" name="name 2"/>
    <tableColumn id="5" xr3:uid="{1FA7106D-B263-4332-8F58-633D2F987351}" name="quantity 2"/>
    <tableColumn id="6" xr3:uid="{59081585-469D-4C63-9AE0-6DF15864AFDF}" name="name 3"/>
    <tableColumn id="7" xr3:uid="{50E63EFE-2F74-4BDE-A277-766680F862B7}" name="quantity 3"/>
    <tableColumn id="8" xr3:uid="{98D557C0-06EA-4AC1-98DC-218943EA9926}" name="name 4"/>
    <tableColumn id="9" xr3:uid="{92271F20-05D4-4F32-9EFB-EC03A811A024}" name="quantity 4"/>
    <tableColumn id="10" xr3:uid="{989E88E5-3E61-4089-887A-C283A85B4486}" name="name 5"/>
    <tableColumn id="11" xr3:uid="{2A58B4BA-73C1-4845-8314-CCF591839AE4}" name="quantity 5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BEC4EF6-847E-467F-8FD6-735E97739E52}" name="Table134" displayName="Table134" ref="E14:N19" totalsRowShown="0" headerRowDxfId="19">
  <autoFilter ref="E14:N19" xr:uid="{B211B308-D116-40B4-BC69-DB7F5617B2F3}"/>
  <tableColumns count="10">
    <tableColumn id="8" xr3:uid="{D3CE3A6C-76BF-40B4-BCCE-8AFC87B3B5E2}" name="Tax Rate"/>
    <tableColumn id="1" xr3:uid="{B98CF6CE-FD5D-4F37-9E3F-C57ABFC24F71}" name="output name"/>
    <tableColumn id="2" xr3:uid="{7B09EA4C-40BB-48C3-943F-71EF8CF565D7}" name="input name" dataDxfId="18">
      <calculatedColumnFormula>IFERROR(VLOOKUP($F$15,'ingredient table'!$D$13:$N$267,4,FALSE),"")</calculatedColumnFormula>
    </tableColumn>
    <tableColumn id="3" xr3:uid="{9CE0BC4B-00A3-4550-B86E-244440FBD0B1}" name="input quantity">
      <calculatedColumnFormula>IFERROR(VLOOKUP($F$15,'ingredient table'!$D$13:$N$267,3,FALSE),"")</calculatedColumnFormula>
    </tableColumn>
    <tableColumn id="4" xr3:uid="{FDB85396-D278-4144-BA78-1EA731756E1E}" name="market input price" dataDxfId="17">
      <calculatedColumnFormula>IFERROR(VLOOKUP($G15,vals!$A$8:$E$200,3,FALSE),"")</calculatedColumnFormula>
    </tableColumn>
    <tableColumn id="5" xr3:uid="{35E14541-1607-4A67-847B-85E87247BA7A}" name="market output price" dataDxfId="16">
      <calculatedColumnFormula>IFERROR(VLOOKUP($F15,vals!$A$8:$E$200,3,FALSE),"")</calculatedColumnFormula>
    </tableColumn>
    <tableColumn id="12" xr3:uid="{7264620B-2DFB-45BC-B71F-8D2E840D461B}" name="after-tax market output price"/>
    <tableColumn id="6" xr3:uid="{9A18F587-16DF-4409-B48B-673FBDFC39CC}" name="cost of production" dataDxfId="15">
      <calculatedColumnFormula>SUMPRODUCT(H15:H19,I15:I19)/(1-Table134[[#This Row],[Tax Rate]])</calculatedColumnFormula>
    </tableColumn>
    <tableColumn id="7" xr3:uid="{CC4660E4-5569-4E0D-9CE9-307695D2B77A}" name="manufacturing profit" dataDxfId="14">
      <calculatedColumnFormula>Table134[[#This Row],[market output price]]-Table134[[#This Row],[cost of production]]</calculatedColumnFormula>
    </tableColumn>
    <tableColumn id="10" xr3:uid="{62CB0614-F222-4C80-853A-3694909BFE9F}" name="implied market output price to break even" dataDxfId="13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CFA7573-579A-467F-914D-B4AB53B6BB19}" name="Table5" displayName="Table5" ref="A1:B1048576" totalsRowShown="0" headerRowDxfId="12" headerRowBorderDxfId="11" tableBorderDxfId="10">
  <autoFilter ref="A1:B1048576" xr:uid="{5CFA7573-579A-467F-914D-B4AB53B6BB19}"/>
  <sortState xmlns:xlrd2="http://schemas.microsoft.com/office/spreadsheetml/2017/richdata2" ref="A2:B201">
    <sortCondition descending="1" ref="B1:B1048576"/>
  </sortState>
  <tableColumns count="2">
    <tableColumn id="1" xr3:uid="{3B4B9EF1-B019-4AA7-8583-8085AC7104A1}" name="Item Name"/>
    <tableColumn id="2" xr3:uid="{3AB33DA5-36C9-4E74-BB07-406CF16B5994}" name="Manufacturing Profit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8B8A241-4513-4814-93B3-00DC53C41DD3}" name="Table1345" displayName="Table1345" ref="E14:N19" totalsRowShown="0" headerRowDxfId="9">
  <autoFilter ref="E14:N19" xr:uid="{B211B308-D116-40B4-BC69-DB7F5617B2F3}"/>
  <tableColumns count="10">
    <tableColumn id="8" xr3:uid="{4A64382C-9AAA-4E11-9EED-EC3758CC4BD9}" name="Tax Rate"/>
    <tableColumn id="1" xr3:uid="{81F04F09-C6D6-4B42-8968-9F56EF7A98E7}" name="output name"/>
    <tableColumn id="2" xr3:uid="{0101E69C-7480-4D23-8068-F531D25BDC03}" name="input name" dataDxfId="8">
      <calculatedColumnFormula>IFERROR(VLOOKUP($F$15,'ingredient table'!$D$13:$N$267,4,FALSE),"")</calculatedColumnFormula>
    </tableColumn>
    <tableColumn id="3" xr3:uid="{AC4AA1FF-AF4B-4FDC-9E5B-D46DE9CD1CF0}" name="input quantity">
      <calculatedColumnFormula>IFERROR(VLOOKUP($F$15,'ingredient table'!$D$13:$N$267,3,FALSE),"")</calculatedColumnFormula>
    </tableColumn>
    <tableColumn id="4" xr3:uid="{BED7B761-1592-4125-A7B4-E52AF4193AC9}" name="market input price" dataDxfId="7">
      <calculatedColumnFormula>IFERROR(VLOOKUP($G15,vals!$A$8:$E$200,3,FALSE)*(1-$E$15),"")</calculatedColumnFormula>
    </tableColumn>
    <tableColumn id="5" xr3:uid="{640D8888-572B-4B9E-A30C-BB6EC2BD3939}" name="market output price" dataDxfId="6">
      <calculatedColumnFormula>IFERROR(VLOOKUP($F15,vals!$A$8:$E$200,3,FALSE),"")</calculatedColumnFormula>
    </tableColumn>
    <tableColumn id="12" xr3:uid="{A77E4BA9-C69D-44C0-B009-FE6DF6ABA521}" name="after-tax market output price"/>
    <tableColumn id="6" xr3:uid="{DC6B3D9F-FEC6-40CF-88AF-99BC41F5464C}" name="cost of production" dataDxfId="5">
      <calculatedColumnFormula>SUMPRODUCT(H15:H19,I15:I19)/(1-Table1345[[#This Row],[Tax Rate]])</calculatedColumnFormula>
    </tableColumn>
    <tableColumn id="7" xr3:uid="{4127F4F9-6D83-4E6D-93BB-C4348A6F77A4}" name="manufacturing profit" dataDxfId="4">
      <calculatedColumnFormula>Table1345[[#This Row],[market output price]]-Table1345[[#This Row],[cost of production]]</calculatedColumnFormula>
    </tableColumn>
    <tableColumn id="10" xr3:uid="{1F3277AB-CBAF-44CE-8FB1-DEC461A5CE3F}" name="implied market output price to break even" dataDxfId="3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B8BC17-A44D-44B9-8823-3AA1B97F1A35}" name="Table57" displayName="Table57" ref="A1:B1048576" totalsRowShown="0" headerRowDxfId="2" headerRowBorderDxfId="1" tableBorderDxfId="0">
  <autoFilter ref="A1:B1048576" xr:uid="{5CFA7573-579A-467F-914D-B4AB53B6BB19}"/>
  <sortState xmlns:xlrd2="http://schemas.microsoft.com/office/spreadsheetml/2017/richdata2" ref="A2:B201">
    <sortCondition descending="1" ref="B1:B1048576"/>
  </sortState>
  <tableColumns count="2">
    <tableColumn id="1" xr3:uid="{C8587C52-B520-412C-A334-A4E902B52927}" name="Item Name"/>
    <tableColumn id="2" xr3:uid="{29B0DE50-039B-44CB-8EF4-BCAE14B236AA}" name="Manufacturing Profit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excelhow.net/how-to-automatically-update-current-timestamp-when-another-cell-is-changed.html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hyperlink" Target="https://www.ozgrid.com/forum/index.php?thread/134028-loop-through-excel-drop-down-list-and-copy-paste-the-value/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ozgrid.com/forum/index.php?thread/134028-loop-through-excel-drop-down-list-and-copy-paste-the-value/" TargetMode="Externa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38E10-A7AF-487F-8357-09EC376FAE54}">
  <sheetPr codeName="Sheet1"/>
  <dimension ref="C10:C19"/>
  <sheetViews>
    <sheetView workbookViewId="0">
      <selection activeCell="C20" sqref="C20"/>
    </sheetView>
  </sheetViews>
  <sheetFormatPr defaultRowHeight="15" x14ac:dyDescent="0.25"/>
  <sheetData>
    <row r="10" spans="3:3" x14ac:dyDescent="0.25">
      <c r="C10" t="s">
        <v>80</v>
      </c>
    </row>
    <row r="15" spans="3:3" x14ac:dyDescent="0.25">
      <c r="C15" t="s">
        <v>81</v>
      </c>
    </row>
    <row r="16" spans="3:3" x14ac:dyDescent="0.25">
      <c r="C16" t="s">
        <v>82</v>
      </c>
    </row>
    <row r="19" spans="3:3" x14ac:dyDescent="0.25">
      <c r="C19" t="s">
        <v>83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92F04-965F-4023-996B-0DC383931865}">
  <dimension ref="C7:E7"/>
  <sheetViews>
    <sheetView workbookViewId="0">
      <selection activeCell="D14" sqref="D14:D15"/>
    </sheetView>
  </sheetViews>
  <sheetFormatPr defaultRowHeight="15" x14ac:dyDescent="0.25"/>
  <cols>
    <col min="4" max="4" width="12.28515625" bestFit="1" customWidth="1"/>
  </cols>
  <sheetData>
    <row r="7" spans="3:5" x14ac:dyDescent="0.25">
      <c r="C7" t="s">
        <v>87</v>
      </c>
      <c r="D7" t="s">
        <v>88</v>
      </c>
      <c r="E7" t="s">
        <v>86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5:L79"/>
  <sheetViews>
    <sheetView tabSelected="1" topLeftCell="A16" workbookViewId="0">
      <selection activeCell="L44" sqref="L44"/>
    </sheetView>
  </sheetViews>
  <sheetFormatPr defaultRowHeight="15" x14ac:dyDescent="0.25"/>
  <cols>
    <col min="1" max="1" width="18.28515625" bestFit="1" customWidth="1"/>
    <col min="2" max="2" width="11" customWidth="1"/>
    <col min="3" max="3" width="17.7109375" customWidth="1"/>
    <col min="4" max="4" width="19.140625" bestFit="1" customWidth="1"/>
    <col min="5" max="5" width="15.7109375" customWidth="1"/>
  </cols>
  <sheetData>
    <row r="5" spans="1:5" x14ac:dyDescent="0.25">
      <c r="D5" s="10" t="s">
        <v>74</v>
      </c>
    </row>
    <row r="7" spans="1:5" x14ac:dyDescent="0.25">
      <c r="A7" s="2" t="s">
        <v>0</v>
      </c>
      <c r="B7" s="2" t="s">
        <v>1</v>
      </c>
      <c r="C7" s="2" t="s">
        <v>22</v>
      </c>
      <c r="D7" s="2" t="s">
        <v>2</v>
      </c>
      <c r="E7" s="2" t="s">
        <v>19</v>
      </c>
    </row>
    <row r="8" spans="1:5" x14ac:dyDescent="0.25">
      <c r="A8" s="14" t="s">
        <v>3</v>
      </c>
      <c r="B8" s="14" t="s">
        <v>10</v>
      </c>
      <c r="C8" s="14" t="s">
        <v>4</v>
      </c>
      <c r="D8" s="16"/>
      <c r="E8" s="14"/>
    </row>
    <row r="9" spans="1:5" x14ac:dyDescent="0.25">
      <c r="A9" s="14" t="s">
        <v>12</v>
      </c>
      <c r="B9" s="14" t="s">
        <v>10</v>
      </c>
      <c r="C9" s="14">
        <v>10</v>
      </c>
      <c r="D9" s="15">
        <v>44608.100844907407</v>
      </c>
      <c r="E9" s="14"/>
    </row>
    <row r="10" spans="1:5" x14ac:dyDescent="0.25">
      <c r="A10" s="14" t="s">
        <v>11</v>
      </c>
      <c r="B10" s="14" t="s">
        <v>10</v>
      </c>
      <c r="C10" s="14">
        <v>13</v>
      </c>
      <c r="D10" s="16"/>
      <c r="E10" s="14"/>
    </row>
    <row r="11" spans="1:5" x14ac:dyDescent="0.25">
      <c r="A11" s="14" t="s">
        <v>38</v>
      </c>
      <c r="B11" s="14" t="s">
        <v>10</v>
      </c>
      <c r="C11" s="14">
        <v>10</v>
      </c>
      <c r="D11" s="15">
        <v>44608.101041666669</v>
      </c>
      <c r="E11" s="14"/>
    </row>
    <row r="12" spans="1:5" x14ac:dyDescent="0.25">
      <c r="A12" s="14" t="s">
        <v>7</v>
      </c>
      <c r="B12" s="14" t="s">
        <v>10</v>
      </c>
      <c r="C12" s="14">
        <v>11</v>
      </c>
      <c r="D12" s="15">
        <v>44608.101157407407</v>
      </c>
      <c r="E12" s="14"/>
    </row>
    <row r="13" spans="1:5" x14ac:dyDescent="0.25">
      <c r="A13" s="14" t="s">
        <v>9</v>
      </c>
      <c r="B13" s="14" t="s">
        <v>10</v>
      </c>
      <c r="C13" s="14">
        <v>3</v>
      </c>
      <c r="D13" s="15">
        <v>44601.206863425927</v>
      </c>
      <c r="E13" s="14"/>
    </row>
    <row r="14" spans="1:5" x14ac:dyDescent="0.25">
      <c r="A14" s="14" t="s">
        <v>6</v>
      </c>
      <c r="B14" s="14" t="s">
        <v>10</v>
      </c>
      <c r="C14" s="14">
        <v>3</v>
      </c>
      <c r="D14" s="16"/>
      <c r="E14" s="14"/>
    </row>
    <row r="15" spans="1:5" x14ac:dyDescent="0.25">
      <c r="A15" s="14" t="s">
        <v>13</v>
      </c>
      <c r="B15" s="14" t="s">
        <v>10</v>
      </c>
      <c r="C15" s="14">
        <v>3</v>
      </c>
      <c r="D15" s="16"/>
      <c r="E15" s="14"/>
    </row>
    <row r="16" spans="1:5" x14ac:dyDescent="0.25">
      <c r="A16" s="14" t="s">
        <v>14</v>
      </c>
      <c r="B16" s="14" t="s">
        <v>10</v>
      </c>
      <c r="C16" s="14">
        <v>3</v>
      </c>
      <c r="D16" s="16"/>
      <c r="E16" s="14"/>
    </row>
    <row r="17" spans="1:12" x14ac:dyDescent="0.25">
      <c r="A17" s="14" t="s">
        <v>5</v>
      </c>
      <c r="B17" s="14" t="s">
        <v>10</v>
      </c>
      <c r="C17" s="14">
        <v>6</v>
      </c>
      <c r="D17" s="15">
        <v>44608.101423611108</v>
      </c>
      <c r="E17" s="14"/>
    </row>
    <row r="18" spans="1:12" x14ac:dyDescent="0.25">
      <c r="A18" s="14" t="s">
        <v>15</v>
      </c>
      <c r="B18" s="14" t="s">
        <v>10</v>
      </c>
      <c r="C18" s="14">
        <v>2</v>
      </c>
      <c r="D18" s="16"/>
      <c r="E18" s="14"/>
    </row>
    <row r="19" spans="1:12" x14ac:dyDescent="0.25">
      <c r="A19" s="14" t="s">
        <v>8</v>
      </c>
      <c r="B19" s="14" t="s">
        <v>10</v>
      </c>
      <c r="C19" s="14">
        <v>1</v>
      </c>
      <c r="D19" s="15">
        <v>44601.206770833334</v>
      </c>
      <c r="E19" s="14"/>
      <c r="J19" t="s">
        <v>90</v>
      </c>
      <c r="K19" t="s">
        <v>91</v>
      </c>
      <c r="L19" t="s">
        <v>92</v>
      </c>
    </row>
    <row r="20" spans="1:12" x14ac:dyDescent="0.25">
      <c r="A20" s="14" t="s">
        <v>72</v>
      </c>
      <c r="B20" s="14" t="s">
        <v>10</v>
      </c>
      <c r="C20" s="14">
        <v>21</v>
      </c>
      <c r="D20" s="15">
        <v>44608.101631944446</v>
      </c>
      <c r="E20" s="14"/>
      <c r="I20" t="s">
        <v>89</v>
      </c>
      <c r="J20">
        <v>95</v>
      </c>
      <c r="K20" s="25">
        <v>26666</v>
      </c>
      <c r="L20">
        <v>774</v>
      </c>
    </row>
    <row r="21" spans="1:12" x14ac:dyDescent="0.25">
      <c r="A21" s="17" t="s">
        <v>67</v>
      </c>
      <c r="B21" s="17" t="s">
        <v>68</v>
      </c>
      <c r="C21" s="17">
        <v>11</v>
      </c>
      <c r="D21" s="18"/>
      <c r="E21" s="17"/>
    </row>
    <row r="22" spans="1:12" x14ac:dyDescent="0.25">
      <c r="A22" s="17" t="s">
        <v>69</v>
      </c>
      <c r="B22" s="17" t="s">
        <v>68</v>
      </c>
      <c r="C22" s="17">
        <v>7</v>
      </c>
      <c r="D22" s="18"/>
      <c r="E22" s="17"/>
    </row>
    <row r="23" spans="1:12" x14ac:dyDescent="0.25">
      <c r="A23" s="19" t="s">
        <v>44</v>
      </c>
      <c r="B23" s="19" t="s">
        <v>39</v>
      </c>
      <c r="C23" s="19">
        <v>215</v>
      </c>
      <c r="D23" s="24">
        <v>44608.101817129631</v>
      </c>
      <c r="E23" s="19"/>
    </row>
    <row r="24" spans="1:12" x14ac:dyDescent="0.25">
      <c r="A24" s="19" t="s">
        <v>43</v>
      </c>
      <c r="B24" s="19" t="s">
        <v>39</v>
      </c>
      <c r="C24" s="19">
        <v>99</v>
      </c>
      <c r="D24" s="24">
        <v>44608.101990740739</v>
      </c>
      <c r="E24" s="19"/>
    </row>
    <row r="25" spans="1:12" x14ac:dyDescent="0.25">
      <c r="A25" s="19" t="s">
        <v>40</v>
      </c>
      <c r="B25" s="19" t="s">
        <v>39</v>
      </c>
      <c r="C25" s="19">
        <v>50</v>
      </c>
      <c r="D25" s="24">
        <v>44608.102256944447</v>
      </c>
      <c r="E25" s="19"/>
    </row>
    <row r="26" spans="1:12" x14ac:dyDescent="0.25">
      <c r="A26" s="19" t="s">
        <v>41</v>
      </c>
      <c r="B26" s="19" t="s">
        <v>39</v>
      </c>
      <c r="C26" s="19">
        <v>20</v>
      </c>
      <c r="D26" s="24">
        <v>44608.102523148147</v>
      </c>
      <c r="E26" s="19"/>
    </row>
    <row r="27" spans="1:12" x14ac:dyDescent="0.25">
      <c r="A27" s="19" t="s">
        <v>42</v>
      </c>
      <c r="B27" s="19" t="s">
        <v>39</v>
      </c>
      <c r="C27" s="19">
        <v>11</v>
      </c>
      <c r="D27" s="24">
        <v>44608.102754629632</v>
      </c>
      <c r="E27" s="19"/>
    </row>
    <row r="28" spans="1:12" x14ac:dyDescent="0.25">
      <c r="A28" s="20" t="s">
        <v>31</v>
      </c>
      <c r="B28" s="20" t="s">
        <v>16</v>
      </c>
      <c r="C28" s="20">
        <v>42</v>
      </c>
      <c r="D28" s="23">
        <v>44608.104629629626</v>
      </c>
      <c r="E28" s="20"/>
    </row>
    <row r="29" spans="1:12" x14ac:dyDescent="0.25">
      <c r="A29" s="20" t="s">
        <v>23</v>
      </c>
      <c r="B29" s="20" t="s">
        <v>16</v>
      </c>
      <c r="C29" s="20">
        <v>30</v>
      </c>
      <c r="D29" s="23">
        <v>44608.104525462964</v>
      </c>
      <c r="E29" s="20"/>
    </row>
    <row r="30" spans="1:12" x14ac:dyDescent="0.25">
      <c r="A30" s="20" t="s">
        <v>21</v>
      </c>
      <c r="B30" s="20" t="s">
        <v>16</v>
      </c>
      <c r="C30" s="20">
        <v>31</v>
      </c>
      <c r="D30" s="23">
        <v>44608.10434027778</v>
      </c>
      <c r="E30" s="20"/>
    </row>
    <row r="31" spans="1:12" x14ac:dyDescent="0.25">
      <c r="A31" s="20" t="s">
        <v>37</v>
      </c>
      <c r="B31" s="20" t="s">
        <v>16</v>
      </c>
      <c r="C31" s="20">
        <v>35</v>
      </c>
      <c r="D31" s="23">
        <v>44608.104201388887</v>
      </c>
      <c r="E31" s="20"/>
    </row>
    <row r="32" spans="1:12" x14ac:dyDescent="0.25">
      <c r="A32" s="20" t="s">
        <v>20</v>
      </c>
      <c r="B32" s="20" t="s">
        <v>16</v>
      </c>
      <c r="C32" s="20">
        <v>25</v>
      </c>
      <c r="D32" s="23">
        <v>44603.003437500003</v>
      </c>
      <c r="E32" s="20"/>
    </row>
    <row r="33" spans="1:5" x14ac:dyDescent="0.25">
      <c r="A33" s="20" t="s">
        <v>24</v>
      </c>
      <c r="B33" s="20" t="s">
        <v>16</v>
      </c>
      <c r="C33" s="20">
        <v>19</v>
      </c>
      <c r="D33" s="23">
        <v>44608.103865740741</v>
      </c>
      <c r="E33" s="20"/>
    </row>
    <row r="34" spans="1:5" x14ac:dyDescent="0.25">
      <c r="A34" s="20" t="s">
        <v>25</v>
      </c>
      <c r="B34" s="20" t="s">
        <v>16</v>
      </c>
      <c r="C34" s="20">
        <v>11</v>
      </c>
      <c r="D34" s="23">
        <v>44608.103692129633</v>
      </c>
      <c r="E34" s="20"/>
    </row>
    <row r="35" spans="1:5" x14ac:dyDescent="0.25">
      <c r="A35" s="20" t="s">
        <v>26</v>
      </c>
      <c r="B35" s="20" t="s">
        <v>16</v>
      </c>
      <c r="C35" s="20">
        <v>18</v>
      </c>
      <c r="D35" s="23">
        <v>44603.003437500003</v>
      </c>
      <c r="E35" s="20"/>
    </row>
    <row r="36" spans="1:5" x14ac:dyDescent="0.25">
      <c r="A36" s="20" t="s">
        <v>30</v>
      </c>
      <c r="B36" s="20" t="s">
        <v>16</v>
      </c>
      <c r="C36" s="20">
        <v>17</v>
      </c>
      <c r="D36" s="23">
        <v>44603.003449074073</v>
      </c>
      <c r="E36" s="20"/>
    </row>
    <row r="37" spans="1:5" x14ac:dyDescent="0.25">
      <c r="A37" s="20" t="s">
        <v>17</v>
      </c>
      <c r="B37" s="20" t="s">
        <v>16</v>
      </c>
      <c r="C37" s="20">
        <v>9</v>
      </c>
      <c r="D37" s="23">
        <v>44603.003437500003</v>
      </c>
      <c r="E37" s="20"/>
    </row>
    <row r="38" spans="1:5" x14ac:dyDescent="0.25">
      <c r="A38" s="20" t="s">
        <v>18</v>
      </c>
      <c r="B38" s="20" t="s">
        <v>16</v>
      </c>
      <c r="C38" s="20">
        <v>5</v>
      </c>
      <c r="D38" s="23">
        <v>44608.10328703704</v>
      </c>
      <c r="E38" s="20"/>
    </row>
    <row r="39" spans="1:5" x14ac:dyDescent="0.25">
      <c r="A39" s="20" t="s">
        <v>27</v>
      </c>
      <c r="B39" s="20" t="s">
        <v>16</v>
      </c>
      <c r="C39" s="20">
        <v>6</v>
      </c>
      <c r="D39" s="23">
        <v>44603.003449074073</v>
      </c>
      <c r="E39" s="20"/>
    </row>
    <row r="40" spans="1:5" x14ac:dyDescent="0.25">
      <c r="A40" s="20" t="s">
        <v>36</v>
      </c>
      <c r="B40" s="20" t="s">
        <v>16</v>
      </c>
      <c r="C40" s="20">
        <v>6</v>
      </c>
      <c r="D40" s="23">
        <v>44603.003449074073</v>
      </c>
      <c r="E40" s="20"/>
    </row>
    <row r="41" spans="1:5" x14ac:dyDescent="0.25">
      <c r="A41" s="20" t="s">
        <v>35</v>
      </c>
      <c r="B41" s="20" t="s">
        <v>16</v>
      </c>
      <c r="C41" s="20">
        <v>4</v>
      </c>
      <c r="D41" s="23">
        <v>44603.003449074073</v>
      </c>
      <c r="E41" s="20"/>
    </row>
    <row r="42" spans="1:5" x14ac:dyDescent="0.25">
      <c r="A42" s="20" t="s">
        <v>28</v>
      </c>
      <c r="B42" s="20" t="s">
        <v>16</v>
      </c>
      <c r="C42" s="20">
        <v>3</v>
      </c>
      <c r="D42" s="23">
        <v>44603.003449074073</v>
      </c>
      <c r="E42" s="20"/>
    </row>
    <row r="43" spans="1:5" x14ac:dyDescent="0.25">
      <c r="A43" s="20" t="s">
        <v>29</v>
      </c>
      <c r="B43" s="20" t="s">
        <v>16</v>
      </c>
      <c r="C43" s="20">
        <v>3</v>
      </c>
      <c r="D43" s="23">
        <v>44603.003449074073</v>
      </c>
      <c r="E43" s="20"/>
    </row>
    <row r="44" spans="1:5" x14ac:dyDescent="0.25">
      <c r="A44" s="20" t="s">
        <v>32</v>
      </c>
      <c r="B44" s="20" t="s">
        <v>16</v>
      </c>
      <c r="C44" s="20">
        <v>3</v>
      </c>
      <c r="D44" s="23">
        <v>44603.003449074073</v>
      </c>
      <c r="E44" s="20"/>
    </row>
    <row r="45" spans="1:5" x14ac:dyDescent="0.25">
      <c r="A45" s="20" t="s">
        <v>34</v>
      </c>
      <c r="B45" s="20" t="s">
        <v>16</v>
      </c>
      <c r="C45" s="20">
        <v>3</v>
      </c>
      <c r="D45" s="23">
        <v>44603.003449074073</v>
      </c>
      <c r="E45" s="20"/>
    </row>
    <row r="46" spans="1:5" x14ac:dyDescent="0.25">
      <c r="A46" s="20" t="s">
        <v>33</v>
      </c>
      <c r="B46" s="20" t="s">
        <v>16</v>
      </c>
      <c r="C46" s="20">
        <v>1</v>
      </c>
      <c r="D46" s="23">
        <v>44603.003449074073</v>
      </c>
      <c r="E46" s="20"/>
    </row>
    <row r="47" spans="1:5" x14ac:dyDescent="0.25">
      <c r="A47" s="21" t="s">
        <v>63</v>
      </c>
      <c r="B47" s="21" t="s">
        <v>64</v>
      </c>
      <c r="C47" s="21">
        <v>8</v>
      </c>
      <c r="D47" s="22"/>
      <c r="E47" s="21"/>
    </row>
    <row r="48" spans="1:5" x14ac:dyDescent="0.25">
      <c r="A48" s="21" t="s">
        <v>65</v>
      </c>
      <c r="B48" s="21" t="s">
        <v>64</v>
      </c>
      <c r="C48" s="21">
        <v>2</v>
      </c>
      <c r="D48" s="22"/>
      <c r="E48" s="21"/>
    </row>
    <row r="49" spans="1:5" x14ac:dyDescent="0.25">
      <c r="A49" s="21" t="s">
        <v>70</v>
      </c>
      <c r="B49" s="21" t="s">
        <v>64</v>
      </c>
      <c r="C49" s="21">
        <v>2</v>
      </c>
      <c r="D49" s="22"/>
      <c r="E49" s="21"/>
    </row>
    <row r="50" spans="1:5" x14ac:dyDescent="0.25">
      <c r="A50" s="21" t="s">
        <v>66</v>
      </c>
      <c r="B50" s="21" t="s">
        <v>64</v>
      </c>
      <c r="C50" s="21">
        <v>2</v>
      </c>
      <c r="D50" s="22"/>
      <c r="E50" s="21"/>
    </row>
    <row r="51" spans="1:5" x14ac:dyDescent="0.25">
      <c r="D51" s="1"/>
    </row>
    <row r="52" spans="1:5" x14ac:dyDescent="0.25">
      <c r="D52" s="1"/>
    </row>
    <row r="53" spans="1:5" x14ac:dyDescent="0.25">
      <c r="D53" s="1"/>
    </row>
    <row r="54" spans="1:5" x14ac:dyDescent="0.25">
      <c r="D54" s="1"/>
    </row>
    <row r="55" spans="1:5" x14ac:dyDescent="0.25">
      <c r="D55" s="1"/>
    </row>
    <row r="56" spans="1:5" x14ac:dyDescent="0.25">
      <c r="D56" s="1"/>
    </row>
    <row r="57" spans="1:5" x14ac:dyDescent="0.25">
      <c r="D57" s="1"/>
    </row>
    <row r="58" spans="1:5" x14ac:dyDescent="0.25">
      <c r="D58" s="1"/>
    </row>
    <row r="59" spans="1:5" x14ac:dyDescent="0.25">
      <c r="D59" s="1"/>
    </row>
    <row r="60" spans="1:5" x14ac:dyDescent="0.25">
      <c r="D60" s="1"/>
    </row>
    <row r="61" spans="1:5" x14ac:dyDescent="0.25">
      <c r="D61" s="1"/>
    </row>
    <row r="62" spans="1:5" x14ac:dyDescent="0.25">
      <c r="D62" s="1"/>
    </row>
    <row r="63" spans="1:5" x14ac:dyDescent="0.25">
      <c r="D63" s="1"/>
    </row>
    <row r="64" spans="1:5" x14ac:dyDescent="0.25">
      <c r="D64" s="1"/>
    </row>
    <row r="65" spans="4:4" x14ac:dyDescent="0.25">
      <c r="D65" s="1"/>
    </row>
    <row r="66" spans="4:4" x14ac:dyDescent="0.25">
      <c r="D66" s="1"/>
    </row>
    <row r="67" spans="4:4" x14ac:dyDescent="0.25">
      <c r="D67" s="1"/>
    </row>
    <row r="68" spans="4:4" x14ac:dyDescent="0.25">
      <c r="D68" s="1"/>
    </row>
    <row r="69" spans="4:4" x14ac:dyDescent="0.25">
      <c r="D69" s="1"/>
    </row>
    <row r="70" spans="4:4" x14ac:dyDescent="0.25">
      <c r="D70" s="1"/>
    </row>
    <row r="71" spans="4:4" x14ac:dyDescent="0.25">
      <c r="D71" s="1"/>
    </row>
    <row r="72" spans="4:4" x14ac:dyDescent="0.25">
      <c r="D72" s="1"/>
    </row>
    <row r="73" spans="4:4" x14ac:dyDescent="0.25">
      <c r="D73" s="1"/>
    </row>
    <row r="74" spans="4:4" x14ac:dyDescent="0.25">
      <c r="D74" s="1"/>
    </row>
    <row r="75" spans="4:4" x14ac:dyDescent="0.25">
      <c r="D75" s="1"/>
    </row>
    <row r="76" spans="4:4" x14ac:dyDescent="0.25">
      <c r="D76" s="1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</sheetData>
  <hyperlinks>
    <hyperlink ref="D5" r:id="rId1" display="https://www.excelhow.net/how-to-automatically-update-current-timestamp-when-another-cell-is-changed.html" xr:uid="{34AAE91F-C899-463A-8521-692B7A5CE2E7}"/>
  </hyperlinks>
  <pageMargins left="0.7" right="0.7" top="0.75" bottom="0.75" header="0.3" footer="0.3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CBFE6-ECEB-48D2-AE10-16437C04A65C}">
  <sheetPr codeName="Sheet3"/>
  <dimension ref="D12:N20"/>
  <sheetViews>
    <sheetView topLeftCell="A7" workbookViewId="0">
      <selection activeCell="E22" sqref="E22"/>
    </sheetView>
  </sheetViews>
  <sheetFormatPr defaultRowHeight="15" x14ac:dyDescent="0.25"/>
  <cols>
    <col min="4" max="4" width="18.28515625" bestFit="1" customWidth="1"/>
    <col min="5" max="5" width="16.5703125" bestFit="1" customWidth="1"/>
    <col min="6" max="6" width="12" customWidth="1"/>
    <col min="7" max="7" width="10.140625" bestFit="1" customWidth="1"/>
    <col min="8" max="8" width="12" customWidth="1"/>
    <col min="9" max="9" width="12.5703125" bestFit="1" customWidth="1"/>
    <col min="10" max="10" width="12" customWidth="1"/>
    <col min="11" max="11" width="9.5703125" customWidth="1"/>
    <col min="12" max="12" width="12" customWidth="1"/>
    <col min="13" max="13" width="10.5703125" bestFit="1" customWidth="1"/>
    <col min="14" max="14" width="12" customWidth="1"/>
  </cols>
  <sheetData>
    <row r="12" spans="4:14" x14ac:dyDescent="0.25">
      <c r="D12" s="2" t="s">
        <v>52</v>
      </c>
      <c r="E12" s="7" t="s">
        <v>53</v>
      </c>
      <c r="F12" s="7" t="s">
        <v>54</v>
      </c>
      <c r="G12" s="8" t="s">
        <v>55</v>
      </c>
      <c r="H12" s="8" t="s">
        <v>56</v>
      </c>
      <c r="I12" s="13" t="s">
        <v>57</v>
      </c>
      <c r="J12" s="13" t="s">
        <v>58</v>
      </c>
      <c r="K12" s="9" t="s">
        <v>59</v>
      </c>
      <c r="L12" s="9" t="s">
        <v>60</v>
      </c>
      <c r="M12" s="6" t="s">
        <v>61</v>
      </c>
      <c r="N12" s="6" t="s">
        <v>62</v>
      </c>
    </row>
    <row r="13" spans="4:14" x14ac:dyDescent="0.25">
      <c r="D13" t="s">
        <v>41</v>
      </c>
      <c r="E13" t="s">
        <v>17</v>
      </c>
      <c r="F13">
        <v>4</v>
      </c>
    </row>
    <row r="14" spans="4:14" x14ac:dyDescent="0.25">
      <c r="D14" t="s">
        <v>42</v>
      </c>
      <c r="E14" t="s">
        <v>18</v>
      </c>
      <c r="F14">
        <v>4</v>
      </c>
    </row>
    <row r="15" spans="4:14" x14ac:dyDescent="0.25">
      <c r="D15" t="s">
        <v>40</v>
      </c>
      <c r="E15" t="s">
        <v>18</v>
      </c>
      <c r="F15">
        <v>5</v>
      </c>
      <c r="G15" t="s">
        <v>24</v>
      </c>
      <c r="H15">
        <v>1</v>
      </c>
    </row>
    <row r="16" spans="4:14" x14ac:dyDescent="0.25">
      <c r="D16" t="s">
        <v>43</v>
      </c>
      <c r="E16" t="s">
        <v>20</v>
      </c>
      <c r="F16">
        <v>5</v>
      </c>
      <c r="G16" t="s">
        <v>25</v>
      </c>
      <c r="H16">
        <v>2</v>
      </c>
    </row>
    <row r="17" spans="4:10" x14ac:dyDescent="0.25">
      <c r="D17" t="s">
        <v>44</v>
      </c>
      <c r="E17" t="s">
        <v>21</v>
      </c>
      <c r="F17">
        <v>6</v>
      </c>
      <c r="G17" t="s">
        <v>24</v>
      </c>
      <c r="H17">
        <v>2</v>
      </c>
      <c r="I17" t="s">
        <v>25</v>
      </c>
      <c r="J17">
        <v>2</v>
      </c>
    </row>
    <row r="18" spans="4:10" x14ac:dyDescent="0.25">
      <c r="D18" t="s">
        <v>67</v>
      </c>
      <c r="E18" t="s">
        <v>65</v>
      </c>
      <c r="F18">
        <v>4</v>
      </c>
      <c r="G18" t="s">
        <v>66</v>
      </c>
      <c r="H18">
        <v>1</v>
      </c>
    </row>
    <row r="19" spans="4:10" x14ac:dyDescent="0.25">
      <c r="D19" t="s">
        <v>69</v>
      </c>
      <c r="E19" t="s">
        <v>71</v>
      </c>
      <c r="F19">
        <v>4</v>
      </c>
      <c r="G19" t="s">
        <v>67</v>
      </c>
      <c r="H19">
        <v>1</v>
      </c>
    </row>
    <row r="20" spans="4:10" x14ac:dyDescent="0.25">
      <c r="D20" t="s">
        <v>72</v>
      </c>
      <c r="E20" t="s">
        <v>5</v>
      </c>
      <c r="F20">
        <v>5</v>
      </c>
      <c r="G20" t="s">
        <v>8</v>
      </c>
      <c r="H20">
        <v>1</v>
      </c>
      <c r="I20" t="s">
        <v>63</v>
      </c>
      <c r="J20">
        <v>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E6B30-401D-497F-989E-DAD9554B0073}">
  <sheetPr codeName="Sheet4"/>
  <dimension ref="A1:N201"/>
  <sheetViews>
    <sheetView zoomScale="115" zoomScaleNormal="115" workbookViewId="0">
      <selection activeCell="E27" sqref="E27"/>
    </sheetView>
  </sheetViews>
  <sheetFormatPr defaultRowHeight="15" x14ac:dyDescent="0.25"/>
  <cols>
    <col min="1" max="1" width="18.28515625" bestFit="1" customWidth="1"/>
    <col min="2" max="2" width="21.85546875" bestFit="1" customWidth="1"/>
    <col min="5" max="5" width="22.85546875" customWidth="1"/>
    <col min="6" max="6" width="41.28515625" bestFit="1" customWidth="1"/>
    <col min="7" max="7" width="16.5703125" bestFit="1" customWidth="1"/>
    <col min="8" max="8" width="19.42578125" customWidth="1"/>
    <col min="9" max="9" width="20.7109375" customWidth="1"/>
    <col min="10" max="10" width="39.5703125" customWidth="1"/>
    <col min="11" max="11" width="39" customWidth="1"/>
    <col min="12" max="12" width="41.7109375" bestFit="1" customWidth="1"/>
    <col min="13" max="13" width="23.85546875" bestFit="1" customWidth="1"/>
    <col min="14" max="14" width="41.7109375" bestFit="1" customWidth="1"/>
  </cols>
  <sheetData>
    <row r="1" spans="1:14" x14ac:dyDescent="0.25">
      <c r="A1" s="11" t="s">
        <v>0</v>
      </c>
      <c r="B1" s="12" t="s">
        <v>76</v>
      </c>
    </row>
    <row r="2" spans="1:14" x14ac:dyDescent="0.25">
      <c r="A2" t="s">
        <v>41</v>
      </c>
      <c r="B2" s="4">
        <v>-10.5</v>
      </c>
    </row>
    <row r="3" spans="1:14" x14ac:dyDescent="0.25">
      <c r="A3" t="s">
        <v>42</v>
      </c>
      <c r="B3" s="4">
        <v>-12.1</v>
      </c>
    </row>
    <row r="4" spans="1:14" x14ac:dyDescent="0.25">
      <c r="A4" t="s">
        <v>40</v>
      </c>
      <c r="B4" s="4">
        <v>-17</v>
      </c>
    </row>
    <row r="5" spans="1:14" x14ac:dyDescent="0.25">
      <c r="A5" t="s">
        <v>43</v>
      </c>
      <c r="B5" s="4">
        <v>-61</v>
      </c>
    </row>
    <row r="6" spans="1:14" x14ac:dyDescent="0.25">
      <c r="A6" t="s">
        <v>44</v>
      </c>
      <c r="B6" s="4">
        <v>-50</v>
      </c>
    </row>
    <row r="7" spans="1:14" x14ac:dyDescent="0.25">
      <c r="A7" t="s">
        <v>67</v>
      </c>
      <c r="B7" s="4">
        <v>-0.65000000000000036</v>
      </c>
    </row>
    <row r="8" spans="1:14" x14ac:dyDescent="0.25">
      <c r="A8" t="s">
        <v>69</v>
      </c>
      <c r="B8" s="4">
        <v>-5.05</v>
      </c>
      <c r="F8" s="26" t="s">
        <v>84</v>
      </c>
      <c r="G8" s="27"/>
    </row>
    <row r="9" spans="1:14" x14ac:dyDescent="0.25">
      <c r="A9" t="s">
        <v>72</v>
      </c>
      <c r="B9" s="4">
        <v>-19</v>
      </c>
      <c r="F9" s="27"/>
      <c r="G9" s="27"/>
    </row>
    <row r="10" spans="1:14" x14ac:dyDescent="0.25">
      <c r="B10" s="4"/>
      <c r="F10" s="27"/>
      <c r="G10" s="27"/>
    </row>
    <row r="11" spans="1:14" x14ac:dyDescent="0.25">
      <c r="B11" s="4"/>
      <c r="J11" s="10" t="s">
        <v>73</v>
      </c>
      <c r="K11" s="10"/>
    </row>
    <row r="12" spans="1:14" x14ac:dyDescent="0.25">
      <c r="B12" s="4"/>
    </row>
    <row r="13" spans="1:14" x14ac:dyDescent="0.25">
      <c r="B13" s="4"/>
      <c r="J13" t="s">
        <v>77</v>
      </c>
    </row>
    <row r="14" spans="1:14" x14ac:dyDescent="0.25">
      <c r="B14" s="4"/>
      <c r="E14" s="2" t="s">
        <v>50</v>
      </c>
      <c r="F14" s="2" t="s">
        <v>46</v>
      </c>
      <c r="G14" s="2" t="s">
        <v>45</v>
      </c>
      <c r="H14" s="2" t="s">
        <v>47</v>
      </c>
      <c r="I14" s="2" t="s">
        <v>48</v>
      </c>
      <c r="J14" s="2" t="s">
        <v>49</v>
      </c>
      <c r="K14" s="2" t="s">
        <v>79</v>
      </c>
      <c r="L14" s="2" t="s">
        <v>78</v>
      </c>
      <c r="M14" s="2" t="s">
        <v>75</v>
      </c>
      <c r="N14" s="2" t="s">
        <v>51</v>
      </c>
    </row>
    <row r="15" spans="1:14" x14ac:dyDescent="0.25">
      <c r="B15" s="4"/>
      <c r="E15" s="3">
        <v>0.15</v>
      </c>
      <c r="G15" t="str">
        <f>IFERROR(VLOOKUP($F$15,'ingredient table'!$D$13:$N$200,2,FALSE),"")</f>
        <v/>
      </c>
      <c r="H15" t="str">
        <f>IFERROR(VLOOKUP($F$15,'ingredient table'!$D$13:$N$200,3,FALSE),"")</f>
        <v/>
      </c>
      <c r="I15" t="str">
        <f>IFERROR(VLOOKUP($G15,vals!$A$8:$E$200,3,FALSE),"")</f>
        <v/>
      </c>
      <c r="J15" t="str">
        <f>IFERROR(VLOOKUP($F15,vals!$A$8:$E$200,3,FALSE),"")</f>
        <v/>
      </c>
      <c r="K15" t="e">
        <f>Table134[[#This Row],[market output price]]*(1-Table134[[#This Row],[Tax Rate]])</f>
        <v>#VALUE!</v>
      </c>
      <c r="L15" s="5">
        <f>SUMPRODUCT(Table134[input quantity],Table134[market input price])</f>
        <v>0</v>
      </c>
      <c r="M15" s="4" t="str">
        <f>IFERROR(Table134[[#This Row],[after-tax market output price]]-Table134[[#This Row],[cost of production]],"")</f>
        <v/>
      </c>
      <c r="N15" s="4">
        <f>SUMPRODUCT(H15:H19,I15:I19)/(1-Table134[[#This Row],[Tax Rate]])</f>
        <v>0</v>
      </c>
    </row>
    <row r="16" spans="1:14" x14ac:dyDescent="0.25">
      <c r="B16" s="4"/>
      <c r="G16" t="str">
        <f>IFERROR(VLOOKUP($F$15,'ingredient table'!$D$13:$N$200,4,FALSE),"")</f>
        <v/>
      </c>
      <c r="H16" t="str">
        <f>IFERROR(VLOOKUP($F$15,'ingredient table'!$D$13:$N$200,5,FALSE),"")</f>
        <v/>
      </c>
      <c r="I16" t="str">
        <f>IFERROR(VLOOKUP($G16,vals!$A$8:$E$200,3,FALSE),"")</f>
        <v/>
      </c>
      <c r="J16" t="str">
        <f>IFERROR(VLOOKUP($F16,vals!$A$8:$E$200,3,FALSE),"")</f>
        <v/>
      </c>
      <c r="N16" s="5"/>
    </row>
    <row r="17" spans="2:14" x14ac:dyDescent="0.25">
      <c r="B17" s="4"/>
      <c r="G17" t="str">
        <f>IFERROR(VLOOKUP($F$15,'ingredient table'!$D$13:$N$200,6,FALSE),"")</f>
        <v/>
      </c>
      <c r="H17" t="str">
        <f>IFERROR(VLOOKUP($F$15,'ingredient table'!$D$13:$N$200,7,FALSE),"")</f>
        <v/>
      </c>
      <c r="I17" t="str">
        <f>IFERROR(VLOOKUP($G17,vals!$A$8:$E$200,3,FALSE),"")</f>
        <v/>
      </c>
      <c r="J17" t="str">
        <f>IFERROR(VLOOKUP($F17,vals!$A$8:$E$200,3,FALSE),"")</f>
        <v/>
      </c>
      <c r="N17" s="5"/>
    </row>
    <row r="18" spans="2:14" x14ac:dyDescent="0.25">
      <c r="B18" s="4"/>
      <c r="G18" t="str">
        <f>IFERROR(VLOOKUP($F$15,'ingredient table'!$D$13:$N$200,8,FALSE),"")</f>
        <v/>
      </c>
      <c r="H18" t="str">
        <f>IFERROR(VLOOKUP($F$15,'ingredient table'!$D$13:$N$200,9,FALSE),"")</f>
        <v/>
      </c>
      <c r="I18" t="str">
        <f>IFERROR(VLOOKUP($G18,vals!$A$8:$E$200,3,FALSE),"")</f>
        <v/>
      </c>
      <c r="J18" t="str">
        <f>IFERROR(VLOOKUP($F18,vals!$A$8:$E$200,3,FALSE),"")</f>
        <v/>
      </c>
      <c r="N18" s="5"/>
    </row>
    <row r="19" spans="2:14" x14ac:dyDescent="0.25">
      <c r="B19" s="4"/>
      <c r="G19" t="str">
        <f>IFERROR(VLOOKUP($F$15,'ingredient table'!$D$13:$N$200,10,FALSE),"")</f>
        <v/>
      </c>
      <c r="H19" t="str">
        <f>IFERROR(VLOOKUP($F$15,'ingredient table'!$D$13:$N$200,11,FALSE),"")</f>
        <v/>
      </c>
      <c r="I19" t="str">
        <f>IFERROR(VLOOKUP($G19,vals!$A$8:$E$200,3,FALSE),"")</f>
        <v/>
      </c>
      <c r="J19" t="str">
        <f>IFERROR(VLOOKUP($F19,vals!$A$8:$E$200,3,FALSE),"")</f>
        <v/>
      </c>
      <c r="N19" s="5"/>
    </row>
    <row r="20" spans="2:14" x14ac:dyDescent="0.25">
      <c r="B20" s="4"/>
      <c r="I20" t="str">
        <f>IFERROR(VLOOKUP($G20,vals!$A$8:$E$200,3,FALSE),"")</f>
        <v/>
      </c>
      <c r="J20" t="str">
        <f>IFERROR(VLOOKUP($F20,vals!$A$8:$E$200,3,FALSE),"")</f>
        <v/>
      </c>
    </row>
    <row r="21" spans="2:14" x14ac:dyDescent="0.25">
      <c r="B21" s="4"/>
      <c r="I21" t="str">
        <f>IFERROR(VLOOKUP($G21,vals!$A$8:$E$200,3,FALSE),"")</f>
        <v/>
      </c>
      <c r="J21" t="str">
        <f>IFERROR(VLOOKUP($F21,vals!$A$8:$E$200,3,FALSE),"")</f>
        <v/>
      </c>
      <c r="L21" s="5"/>
    </row>
    <row r="22" spans="2:14" x14ac:dyDescent="0.25">
      <c r="B22" s="4"/>
      <c r="I22" t="str">
        <f>IFERROR(VLOOKUP($G22,vals!$A$8:$E$200,3,FALSE),"")</f>
        <v/>
      </c>
      <c r="J22" t="str">
        <f>IFERROR(VLOOKUP($F22,vals!$A$8:$E$200,3,FALSE),"")</f>
        <v/>
      </c>
    </row>
    <row r="23" spans="2:14" x14ac:dyDescent="0.25">
      <c r="B23" s="4"/>
    </row>
    <row r="24" spans="2:14" x14ac:dyDescent="0.25">
      <c r="B24" s="4"/>
    </row>
    <row r="25" spans="2:14" x14ac:dyDescent="0.25">
      <c r="B25" s="4"/>
    </row>
    <row r="26" spans="2:14" x14ac:dyDescent="0.25">
      <c r="B26" s="4"/>
    </row>
    <row r="27" spans="2:14" x14ac:dyDescent="0.25">
      <c r="B27" s="4"/>
    </row>
    <row r="28" spans="2:14" x14ac:dyDescent="0.25">
      <c r="B28" s="4"/>
    </row>
    <row r="29" spans="2:14" x14ac:dyDescent="0.25">
      <c r="B29" s="4"/>
    </row>
    <row r="30" spans="2:14" x14ac:dyDescent="0.25">
      <c r="B30" s="4"/>
    </row>
    <row r="31" spans="2:14" x14ac:dyDescent="0.25">
      <c r="B31" s="4"/>
    </row>
    <row r="32" spans="2:14" x14ac:dyDescent="0.25">
      <c r="B32" s="4"/>
    </row>
    <row r="33" spans="2:2" x14ac:dyDescent="0.25">
      <c r="B33" s="4"/>
    </row>
    <row r="34" spans="2:2" x14ac:dyDescent="0.25">
      <c r="B34" s="4"/>
    </row>
    <row r="35" spans="2:2" x14ac:dyDescent="0.25">
      <c r="B35" s="4"/>
    </row>
    <row r="36" spans="2:2" x14ac:dyDescent="0.25">
      <c r="B36" s="4"/>
    </row>
    <row r="37" spans="2:2" x14ac:dyDescent="0.25">
      <c r="B37" s="4"/>
    </row>
    <row r="38" spans="2:2" x14ac:dyDescent="0.25">
      <c r="B38" s="4"/>
    </row>
    <row r="39" spans="2:2" x14ac:dyDescent="0.25">
      <c r="B39" s="4"/>
    </row>
    <row r="40" spans="2:2" x14ac:dyDescent="0.25">
      <c r="B40" s="4"/>
    </row>
    <row r="41" spans="2:2" x14ac:dyDescent="0.25">
      <c r="B41" s="4"/>
    </row>
    <row r="42" spans="2:2" x14ac:dyDescent="0.25">
      <c r="B42" s="4"/>
    </row>
    <row r="43" spans="2:2" x14ac:dyDescent="0.25">
      <c r="B43" s="4"/>
    </row>
    <row r="44" spans="2:2" x14ac:dyDescent="0.25">
      <c r="B44" s="4"/>
    </row>
    <row r="45" spans="2:2" x14ac:dyDescent="0.25">
      <c r="B45" s="4"/>
    </row>
    <row r="46" spans="2:2" x14ac:dyDescent="0.25">
      <c r="B46" s="4"/>
    </row>
    <row r="47" spans="2:2" x14ac:dyDescent="0.25">
      <c r="B47" s="4"/>
    </row>
    <row r="48" spans="2:2" x14ac:dyDescent="0.25">
      <c r="B48" s="4"/>
    </row>
    <row r="49" spans="2:2" x14ac:dyDescent="0.25">
      <c r="B49" s="4"/>
    </row>
    <row r="50" spans="2:2" x14ac:dyDescent="0.25">
      <c r="B50" s="4"/>
    </row>
    <row r="51" spans="2:2" x14ac:dyDescent="0.25">
      <c r="B51" s="4"/>
    </row>
    <row r="52" spans="2:2" x14ac:dyDescent="0.25">
      <c r="B52" s="4"/>
    </row>
    <row r="53" spans="2:2" x14ac:dyDescent="0.25">
      <c r="B53" s="4"/>
    </row>
    <row r="54" spans="2:2" x14ac:dyDescent="0.25">
      <c r="B54" s="4"/>
    </row>
    <row r="55" spans="2:2" x14ac:dyDescent="0.25">
      <c r="B55" s="4"/>
    </row>
    <row r="56" spans="2:2" x14ac:dyDescent="0.25">
      <c r="B56" s="4"/>
    </row>
    <row r="57" spans="2:2" x14ac:dyDescent="0.25">
      <c r="B57" s="4"/>
    </row>
    <row r="58" spans="2:2" x14ac:dyDescent="0.25">
      <c r="B58" s="4"/>
    </row>
    <row r="59" spans="2:2" x14ac:dyDescent="0.25">
      <c r="B59" s="4"/>
    </row>
    <row r="60" spans="2:2" x14ac:dyDescent="0.25">
      <c r="B60" s="4"/>
    </row>
    <row r="61" spans="2:2" x14ac:dyDescent="0.25">
      <c r="B61" s="4"/>
    </row>
    <row r="62" spans="2:2" x14ac:dyDescent="0.25">
      <c r="B62" s="4"/>
    </row>
    <row r="63" spans="2:2" x14ac:dyDescent="0.25">
      <c r="B63" s="4"/>
    </row>
    <row r="64" spans="2:2" x14ac:dyDescent="0.25">
      <c r="B64" s="4"/>
    </row>
    <row r="65" spans="2:2" x14ac:dyDescent="0.25">
      <c r="B65" s="4"/>
    </row>
    <row r="66" spans="2:2" x14ac:dyDescent="0.25">
      <c r="B66" s="4"/>
    </row>
    <row r="67" spans="2:2" x14ac:dyDescent="0.25">
      <c r="B67" s="4"/>
    </row>
    <row r="68" spans="2:2" x14ac:dyDescent="0.25">
      <c r="B68" s="4"/>
    </row>
    <row r="69" spans="2:2" x14ac:dyDescent="0.25">
      <c r="B69" s="4"/>
    </row>
    <row r="70" spans="2:2" x14ac:dyDescent="0.25">
      <c r="B70" s="4"/>
    </row>
    <row r="71" spans="2:2" x14ac:dyDescent="0.25">
      <c r="B71" s="4"/>
    </row>
    <row r="72" spans="2:2" x14ac:dyDescent="0.25">
      <c r="B72" s="4"/>
    </row>
    <row r="73" spans="2:2" x14ac:dyDescent="0.25">
      <c r="B73" s="4"/>
    </row>
    <row r="74" spans="2:2" x14ac:dyDescent="0.25">
      <c r="B74" s="4"/>
    </row>
    <row r="75" spans="2:2" x14ac:dyDescent="0.25">
      <c r="B75" s="4"/>
    </row>
    <row r="76" spans="2:2" x14ac:dyDescent="0.25">
      <c r="B76" s="4"/>
    </row>
    <row r="77" spans="2:2" x14ac:dyDescent="0.25">
      <c r="B77" s="4"/>
    </row>
    <row r="78" spans="2:2" x14ac:dyDescent="0.25">
      <c r="B78" s="4"/>
    </row>
    <row r="79" spans="2:2" x14ac:dyDescent="0.25">
      <c r="B79" s="4"/>
    </row>
    <row r="80" spans="2:2" x14ac:dyDescent="0.25">
      <c r="B80" s="4"/>
    </row>
    <row r="81" spans="2:2" x14ac:dyDescent="0.25">
      <c r="B81" s="4"/>
    </row>
    <row r="82" spans="2:2" x14ac:dyDescent="0.25">
      <c r="B82" s="4"/>
    </row>
    <row r="83" spans="2:2" x14ac:dyDescent="0.25">
      <c r="B83" s="4"/>
    </row>
    <row r="84" spans="2:2" x14ac:dyDescent="0.25">
      <c r="B84" s="4"/>
    </row>
    <row r="85" spans="2:2" x14ac:dyDescent="0.25">
      <c r="B85" s="4"/>
    </row>
    <row r="86" spans="2:2" x14ac:dyDescent="0.25">
      <c r="B86" s="4"/>
    </row>
    <row r="87" spans="2:2" x14ac:dyDescent="0.25">
      <c r="B87" s="4"/>
    </row>
    <row r="88" spans="2:2" x14ac:dyDescent="0.25">
      <c r="B88" s="4"/>
    </row>
    <row r="89" spans="2:2" x14ac:dyDescent="0.25">
      <c r="B89" s="4"/>
    </row>
    <row r="90" spans="2:2" x14ac:dyDescent="0.25">
      <c r="B90" s="4"/>
    </row>
    <row r="91" spans="2:2" x14ac:dyDescent="0.25">
      <c r="B91" s="4"/>
    </row>
    <row r="92" spans="2:2" x14ac:dyDescent="0.25">
      <c r="B92" s="4"/>
    </row>
    <row r="93" spans="2:2" x14ac:dyDescent="0.25">
      <c r="B93" s="4"/>
    </row>
    <row r="94" spans="2:2" x14ac:dyDescent="0.25">
      <c r="B94" s="4"/>
    </row>
    <row r="95" spans="2:2" x14ac:dyDescent="0.25">
      <c r="B95" s="4"/>
    </row>
    <row r="96" spans="2:2" x14ac:dyDescent="0.25">
      <c r="B96" s="4"/>
    </row>
    <row r="97" spans="2:2" x14ac:dyDescent="0.25">
      <c r="B97" s="4"/>
    </row>
    <row r="98" spans="2:2" x14ac:dyDescent="0.25">
      <c r="B98" s="4"/>
    </row>
    <row r="99" spans="2:2" x14ac:dyDescent="0.25">
      <c r="B99" s="4"/>
    </row>
    <row r="100" spans="2:2" x14ac:dyDescent="0.25">
      <c r="B100" s="4"/>
    </row>
    <row r="101" spans="2:2" x14ac:dyDescent="0.25">
      <c r="B101" s="4"/>
    </row>
    <row r="102" spans="2:2" x14ac:dyDescent="0.25">
      <c r="B102" s="4"/>
    </row>
    <row r="103" spans="2:2" x14ac:dyDescent="0.25">
      <c r="B103" s="4"/>
    </row>
    <row r="104" spans="2:2" x14ac:dyDescent="0.25">
      <c r="B104" s="4"/>
    </row>
    <row r="105" spans="2:2" x14ac:dyDescent="0.25">
      <c r="B105" s="4"/>
    </row>
    <row r="106" spans="2:2" x14ac:dyDescent="0.25">
      <c r="B106" s="4"/>
    </row>
    <row r="107" spans="2:2" x14ac:dyDescent="0.25">
      <c r="B107" s="4"/>
    </row>
    <row r="108" spans="2:2" x14ac:dyDescent="0.25">
      <c r="B108" s="4"/>
    </row>
    <row r="109" spans="2:2" x14ac:dyDescent="0.25">
      <c r="B109" s="4"/>
    </row>
    <row r="110" spans="2:2" x14ac:dyDescent="0.25">
      <c r="B110" s="4"/>
    </row>
    <row r="111" spans="2:2" x14ac:dyDescent="0.25">
      <c r="B111" s="4"/>
    </row>
    <row r="112" spans="2:2" x14ac:dyDescent="0.25">
      <c r="B112" s="4"/>
    </row>
    <row r="113" spans="2:2" x14ac:dyDescent="0.25">
      <c r="B113" s="4"/>
    </row>
    <row r="114" spans="2:2" x14ac:dyDescent="0.25">
      <c r="B114" s="4"/>
    </row>
    <row r="115" spans="2:2" x14ac:dyDescent="0.25">
      <c r="B115" s="4"/>
    </row>
    <row r="116" spans="2:2" x14ac:dyDescent="0.25">
      <c r="B116" s="4"/>
    </row>
    <row r="117" spans="2:2" x14ac:dyDescent="0.25">
      <c r="B117" s="4"/>
    </row>
    <row r="118" spans="2:2" x14ac:dyDescent="0.25">
      <c r="B118" s="4"/>
    </row>
    <row r="119" spans="2:2" x14ac:dyDescent="0.25">
      <c r="B119" s="4"/>
    </row>
    <row r="120" spans="2:2" x14ac:dyDescent="0.25">
      <c r="B120" s="4"/>
    </row>
    <row r="121" spans="2:2" x14ac:dyDescent="0.25">
      <c r="B121" s="4"/>
    </row>
    <row r="122" spans="2:2" x14ac:dyDescent="0.25">
      <c r="B122" s="4"/>
    </row>
    <row r="123" spans="2:2" x14ac:dyDescent="0.25">
      <c r="B123" s="4"/>
    </row>
    <row r="124" spans="2:2" x14ac:dyDescent="0.25">
      <c r="B124" s="4"/>
    </row>
    <row r="125" spans="2:2" x14ac:dyDescent="0.25">
      <c r="B125" s="4"/>
    </row>
    <row r="126" spans="2:2" x14ac:dyDescent="0.25">
      <c r="B126" s="4"/>
    </row>
    <row r="127" spans="2:2" x14ac:dyDescent="0.25">
      <c r="B127" s="4"/>
    </row>
    <row r="128" spans="2:2" x14ac:dyDescent="0.25">
      <c r="B128" s="4"/>
    </row>
    <row r="129" spans="2:2" x14ac:dyDescent="0.25">
      <c r="B129" s="4"/>
    </row>
    <row r="130" spans="2:2" x14ac:dyDescent="0.25">
      <c r="B130" s="4"/>
    </row>
    <row r="131" spans="2:2" x14ac:dyDescent="0.25">
      <c r="B131" s="4"/>
    </row>
    <row r="132" spans="2:2" x14ac:dyDescent="0.25">
      <c r="B132" s="4"/>
    </row>
    <row r="133" spans="2:2" x14ac:dyDescent="0.25">
      <c r="B133" s="4"/>
    </row>
    <row r="134" spans="2:2" x14ac:dyDescent="0.25">
      <c r="B134" s="4"/>
    </row>
    <row r="135" spans="2:2" x14ac:dyDescent="0.25">
      <c r="B135" s="4"/>
    </row>
    <row r="136" spans="2:2" x14ac:dyDescent="0.25">
      <c r="B136" s="4"/>
    </row>
    <row r="137" spans="2:2" x14ac:dyDescent="0.25">
      <c r="B137" s="4"/>
    </row>
    <row r="138" spans="2:2" x14ac:dyDescent="0.25">
      <c r="B138" s="4"/>
    </row>
    <row r="139" spans="2:2" x14ac:dyDescent="0.25">
      <c r="B139" s="4"/>
    </row>
    <row r="140" spans="2:2" x14ac:dyDescent="0.25">
      <c r="B140" s="4"/>
    </row>
    <row r="141" spans="2:2" x14ac:dyDescent="0.25">
      <c r="B141" s="4"/>
    </row>
    <row r="142" spans="2:2" x14ac:dyDescent="0.25">
      <c r="B142" s="4"/>
    </row>
    <row r="143" spans="2:2" x14ac:dyDescent="0.25">
      <c r="B143" s="4"/>
    </row>
    <row r="144" spans="2:2" x14ac:dyDescent="0.25">
      <c r="B144" s="4"/>
    </row>
    <row r="145" spans="2:2" x14ac:dyDescent="0.25">
      <c r="B145" s="4"/>
    </row>
    <row r="146" spans="2:2" x14ac:dyDescent="0.25">
      <c r="B146" s="4"/>
    </row>
    <row r="147" spans="2:2" x14ac:dyDescent="0.25">
      <c r="B147" s="4"/>
    </row>
    <row r="148" spans="2:2" x14ac:dyDescent="0.25">
      <c r="B148" s="4"/>
    </row>
    <row r="149" spans="2:2" x14ac:dyDescent="0.25">
      <c r="B149" s="4"/>
    </row>
    <row r="150" spans="2:2" x14ac:dyDescent="0.25">
      <c r="B150" s="4"/>
    </row>
    <row r="151" spans="2:2" x14ac:dyDescent="0.25">
      <c r="B151" s="4"/>
    </row>
    <row r="152" spans="2:2" x14ac:dyDescent="0.25">
      <c r="B152" s="4"/>
    </row>
    <row r="153" spans="2:2" x14ac:dyDescent="0.25">
      <c r="B153" s="4"/>
    </row>
    <row r="154" spans="2:2" x14ac:dyDescent="0.25">
      <c r="B154" s="4"/>
    </row>
    <row r="155" spans="2:2" x14ac:dyDescent="0.25">
      <c r="B155" s="4"/>
    </row>
    <row r="156" spans="2:2" x14ac:dyDescent="0.25">
      <c r="B156" s="4"/>
    </row>
    <row r="157" spans="2:2" x14ac:dyDescent="0.25">
      <c r="B157" s="4"/>
    </row>
    <row r="158" spans="2:2" x14ac:dyDescent="0.25">
      <c r="B158" s="4"/>
    </row>
    <row r="159" spans="2:2" x14ac:dyDescent="0.25">
      <c r="B159" s="4"/>
    </row>
    <row r="160" spans="2:2" x14ac:dyDescent="0.25">
      <c r="B160" s="4"/>
    </row>
    <row r="161" spans="2:2" x14ac:dyDescent="0.25">
      <c r="B161" s="4"/>
    </row>
    <row r="162" spans="2:2" x14ac:dyDescent="0.25">
      <c r="B162" s="4"/>
    </row>
    <row r="163" spans="2:2" x14ac:dyDescent="0.25">
      <c r="B163" s="4"/>
    </row>
    <row r="164" spans="2:2" x14ac:dyDescent="0.25">
      <c r="B164" s="4"/>
    </row>
    <row r="165" spans="2:2" x14ac:dyDescent="0.25">
      <c r="B165" s="4"/>
    </row>
    <row r="166" spans="2:2" x14ac:dyDescent="0.25">
      <c r="B166" s="4"/>
    </row>
    <row r="167" spans="2:2" x14ac:dyDescent="0.25">
      <c r="B167" s="4"/>
    </row>
    <row r="168" spans="2:2" x14ac:dyDescent="0.25">
      <c r="B168" s="4"/>
    </row>
    <row r="169" spans="2:2" x14ac:dyDescent="0.25">
      <c r="B169" s="4"/>
    </row>
    <row r="170" spans="2:2" x14ac:dyDescent="0.25">
      <c r="B170" s="4"/>
    </row>
    <row r="171" spans="2:2" x14ac:dyDescent="0.25">
      <c r="B171" s="4"/>
    </row>
    <row r="172" spans="2:2" x14ac:dyDescent="0.25">
      <c r="B172" s="4"/>
    </row>
    <row r="173" spans="2:2" x14ac:dyDescent="0.25">
      <c r="B173" s="4"/>
    </row>
    <row r="174" spans="2:2" x14ac:dyDescent="0.25">
      <c r="B174" s="4"/>
    </row>
    <row r="175" spans="2:2" x14ac:dyDescent="0.25">
      <c r="B175" s="4"/>
    </row>
    <row r="176" spans="2:2" x14ac:dyDescent="0.25">
      <c r="B176" s="4"/>
    </row>
    <row r="177" spans="2:2" x14ac:dyDescent="0.25">
      <c r="B177" s="4"/>
    </row>
    <row r="178" spans="2:2" x14ac:dyDescent="0.25">
      <c r="B178" s="4"/>
    </row>
    <row r="179" spans="2:2" x14ac:dyDescent="0.25">
      <c r="B179" s="4"/>
    </row>
    <row r="180" spans="2:2" x14ac:dyDescent="0.25">
      <c r="B180" s="4"/>
    </row>
    <row r="181" spans="2:2" x14ac:dyDescent="0.25">
      <c r="B181" s="4"/>
    </row>
    <row r="182" spans="2:2" x14ac:dyDescent="0.25">
      <c r="B182" s="4"/>
    </row>
    <row r="183" spans="2:2" x14ac:dyDescent="0.25">
      <c r="B183" s="4"/>
    </row>
    <row r="184" spans="2:2" x14ac:dyDescent="0.25">
      <c r="B184" s="4"/>
    </row>
    <row r="185" spans="2:2" x14ac:dyDescent="0.25">
      <c r="B185" s="4"/>
    </row>
    <row r="186" spans="2:2" x14ac:dyDescent="0.25">
      <c r="B186" s="4"/>
    </row>
    <row r="187" spans="2:2" x14ac:dyDescent="0.25">
      <c r="B187" s="4"/>
    </row>
    <row r="188" spans="2:2" x14ac:dyDescent="0.25">
      <c r="B188" s="4"/>
    </row>
    <row r="189" spans="2:2" x14ac:dyDescent="0.25">
      <c r="B189" s="4"/>
    </row>
    <row r="190" spans="2:2" x14ac:dyDescent="0.25">
      <c r="B190" s="4"/>
    </row>
    <row r="191" spans="2:2" x14ac:dyDescent="0.25">
      <c r="B191" s="4"/>
    </row>
    <row r="192" spans="2:2" x14ac:dyDescent="0.25">
      <c r="B192" s="4"/>
    </row>
    <row r="193" spans="2:2" x14ac:dyDescent="0.25">
      <c r="B193" s="4"/>
    </row>
    <row r="194" spans="2:2" x14ac:dyDescent="0.25">
      <c r="B194" s="4"/>
    </row>
    <row r="195" spans="2:2" x14ac:dyDescent="0.25">
      <c r="B195" s="4"/>
    </row>
    <row r="196" spans="2:2" x14ac:dyDescent="0.25">
      <c r="B196" s="4"/>
    </row>
    <row r="197" spans="2:2" x14ac:dyDescent="0.25">
      <c r="B197" s="4"/>
    </row>
    <row r="198" spans="2:2" x14ac:dyDescent="0.25">
      <c r="B198" s="4"/>
    </row>
    <row r="199" spans="2:2" x14ac:dyDescent="0.25">
      <c r="B199" s="4"/>
    </row>
    <row r="200" spans="2:2" x14ac:dyDescent="0.25">
      <c r="B200" s="4"/>
    </row>
    <row r="201" spans="2:2" x14ac:dyDescent="0.25">
      <c r="B201" s="4"/>
    </row>
  </sheetData>
  <mergeCells count="1">
    <mergeCell ref="F8:G10"/>
  </mergeCells>
  <hyperlinks>
    <hyperlink ref="J11" r:id="rId1" display="https://www.ozgrid.com/forum/index.php?thread/134028-loop-through-excel-drop-down-list-and-copy-paste-the-value/" xr:uid="{F406AA80-A867-4CDE-B25E-546C852C9F4D}"/>
  </hyperlinks>
  <pageMargins left="0.7" right="0.7" top="0.75" bottom="0.75" header="0.3" footer="0.3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780A20A-13FF-4856-9047-2566AA35161E}">
          <x14:formula1>
            <xm:f>'ingredient table'!$D$13:$D$212</xm:f>
          </x14:formula1>
          <xm:sqref>F15</xm:sqref>
        </x14:dataValidation>
        <x14:dataValidation type="list" allowBlank="1" showInputMessage="1" showErrorMessage="1" xr:uid="{7CA7C434-67C0-4513-AC97-3015B3287884}">
          <x14:formula1>
            <xm:f>vals!$A$7:$A$200</xm:f>
          </x14:formula1>
          <xm:sqref>G20:G22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E50E0-CED8-4F28-BE15-8C3C1EB94CEE}">
  <sheetPr codeName="Sheet5">
    <pageSetUpPr autoPageBreaks="0"/>
  </sheetPr>
  <dimension ref="A1:N201"/>
  <sheetViews>
    <sheetView zoomScale="115" zoomScaleNormal="115" workbookViewId="0">
      <selection activeCell="E25" sqref="E25"/>
    </sheetView>
  </sheetViews>
  <sheetFormatPr defaultRowHeight="15" x14ac:dyDescent="0.25"/>
  <cols>
    <col min="1" max="1" width="18.28515625" bestFit="1" customWidth="1"/>
    <col min="2" max="2" width="21.85546875" bestFit="1" customWidth="1"/>
    <col min="5" max="5" width="22.85546875" customWidth="1"/>
    <col min="6" max="6" width="41.28515625" bestFit="1" customWidth="1"/>
    <col min="7" max="7" width="16.5703125" bestFit="1" customWidth="1"/>
    <col min="8" max="8" width="19.42578125" customWidth="1"/>
    <col min="9" max="9" width="20.7109375" customWidth="1"/>
    <col min="10" max="10" width="39.5703125" customWidth="1"/>
    <col min="11" max="11" width="39" customWidth="1"/>
    <col min="12" max="12" width="41.7109375" bestFit="1" customWidth="1"/>
    <col min="13" max="13" width="23.85546875" bestFit="1" customWidth="1"/>
    <col min="14" max="14" width="41.7109375" bestFit="1" customWidth="1"/>
  </cols>
  <sheetData>
    <row r="1" spans="1:14" x14ac:dyDescent="0.25">
      <c r="A1" s="11" t="s">
        <v>0</v>
      </c>
      <c r="B1" s="12" t="s">
        <v>76</v>
      </c>
    </row>
    <row r="2" spans="1:14" x14ac:dyDescent="0.25">
      <c r="A2" t="s">
        <v>41</v>
      </c>
      <c r="B2" s="4">
        <v>8.5</v>
      </c>
    </row>
    <row r="3" spans="1:14" x14ac:dyDescent="0.25">
      <c r="A3" t="s">
        <v>42</v>
      </c>
      <c r="B3" s="4">
        <v>-11.9</v>
      </c>
    </row>
    <row r="4" spans="1:14" x14ac:dyDescent="0.25">
      <c r="A4" t="s">
        <v>40</v>
      </c>
      <c r="B4" s="4">
        <v>-11.049999999999997</v>
      </c>
    </row>
    <row r="5" spans="1:14" x14ac:dyDescent="0.25">
      <c r="A5" t="s">
        <v>43</v>
      </c>
      <c r="B5" s="4">
        <v>-2.5499999999999829</v>
      </c>
    </row>
    <row r="6" spans="1:14" x14ac:dyDescent="0.25">
      <c r="A6" t="s">
        <v>44</v>
      </c>
      <c r="B6" s="4">
        <v>25.5</v>
      </c>
    </row>
    <row r="7" spans="1:14" x14ac:dyDescent="0.25">
      <c r="A7" t="s">
        <v>67</v>
      </c>
      <c r="B7" s="4">
        <v>0.84999999999999964</v>
      </c>
    </row>
    <row r="8" spans="1:14" x14ac:dyDescent="0.25">
      <c r="A8" t="s">
        <v>69</v>
      </c>
      <c r="B8" s="4">
        <v>-3.3999999999999995</v>
      </c>
      <c r="F8" s="26" t="s">
        <v>85</v>
      </c>
      <c r="G8" s="27"/>
    </row>
    <row r="9" spans="1:14" x14ac:dyDescent="0.25">
      <c r="A9" t="s">
        <v>72</v>
      </c>
      <c r="B9" s="4">
        <v>-20.399999999999999</v>
      </c>
      <c r="F9" s="27"/>
      <c r="G9" s="27"/>
    </row>
    <row r="10" spans="1:14" x14ac:dyDescent="0.25">
      <c r="B10" s="4"/>
      <c r="F10" s="27"/>
      <c r="G10" s="27"/>
    </row>
    <row r="11" spans="1:14" x14ac:dyDescent="0.25">
      <c r="B11" s="4"/>
      <c r="J11" s="10" t="s">
        <v>73</v>
      </c>
      <c r="K11" s="10"/>
    </row>
    <row r="12" spans="1:14" x14ac:dyDescent="0.25">
      <c r="B12" s="4"/>
    </row>
    <row r="13" spans="1:14" x14ac:dyDescent="0.25">
      <c r="B13" s="4"/>
      <c r="J13" t="s">
        <v>77</v>
      </c>
    </row>
    <row r="14" spans="1:14" x14ac:dyDescent="0.25">
      <c r="B14" s="4"/>
      <c r="E14" s="2" t="s">
        <v>50</v>
      </c>
      <c r="F14" s="2" t="s">
        <v>46</v>
      </c>
      <c r="G14" s="2" t="s">
        <v>45</v>
      </c>
      <c r="H14" s="2" t="s">
        <v>47</v>
      </c>
      <c r="I14" s="2" t="s">
        <v>48</v>
      </c>
      <c r="J14" s="2" t="s">
        <v>49</v>
      </c>
      <c r="K14" s="2" t="s">
        <v>79</v>
      </c>
      <c r="L14" s="2" t="s">
        <v>78</v>
      </c>
      <c r="M14" s="2" t="s">
        <v>75</v>
      </c>
      <c r="N14" s="2" t="s">
        <v>51</v>
      </c>
    </row>
    <row r="15" spans="1:14" x14ac:dyDescent="0.25">
      <c r="B15" s="4"/>
      <c r="E15" s="3">
        <v>0.15</v>
      </c>
      <c r="F15" t="s">
        <v>44</v>
      </c>
      <c r="G15" t="str">
        <f>IFERROR(VLOOKUP($F$15,'ingredient table'!$D$13:$N$200,2,FALSE),"")</f>
        <v>meteoric iron ore</v>
      </c>
      <c r="H15">
        <f>IFERROR(VLOOKUP($F$15,'ingredient table'!$D$13:$N$200,3,FALSE),"")</f>
        <v>6</v>
      </c>
      <c r="I15">
        <f>IFERROR(VLOOKUP($G15,vals!$A$8:$E$200,3,FALSE)*(1-$E$15),"")</f>
        <v>26.349999999999998</v>
      </c>
      <c r="J15">
        <f>IFERROR(VLOOKUP($F15,vals!$A$8:$E$200,3,FALSE),"")</f>
        <v>215</v>
      </c>
      <c r="K15">
        <f>Table1345[[#This Row],[market output price]]*(1-Table1345[[#This Row],[Tax Rate]])</f>
        <v>182.75</v>
      </c>
      <c r="L15" s="5">
        <f>SUMPRODUCT(Table1345[input quantity],Table1345[market input price])</f>
        <v>209.09999999999997</v>
      </c>
      <c r="M15" s="4">
        <f>IFERROR(Table1345[[#This Row],[after-tax market output price]]-Table1345[[#This Row],[cost of production]],"")</f>
        <v>-26.349999999999966</v>
      </c>
      <c r="N15" s="4">
        <f>SUMPRODUCT(H15:H19,I15:I19)/(1-Table1345[[#This Row],[Tax Rate]])</f>
        <v>245.99999999999997</v>
      </c>
    </row>
    <row r="16" spans="1:14" x14ac:dyDescent="0.25">
      <c r="B16" s="4"/>
      <c r="G16" t="str">
        <f>IFERROR(VLOOKUP($F$15,'ingredient table'!$D$13:$N$200,4,FALSE),"")</f>
        <v>brimstone</v>
      </c>
      <c r="H16">
        <f>IFERROR(VLOOKUP($F$15,'ingredient table'!$D$13:$N$200,5,FALSE),"")</f>
        <v>2</v>
      </c>
      <c r="I16">
        <f>IFERROR(VLOOKUP($G16,vals!$A$8:$E$200,3,FALSE)*(1-$E$15),"")</f>
        <v>16.149999999999999</v>
      </c>
      <c r="J16" t="str">
        <f>IFERROR(VLOOKUP($F16,vals!$A$8:$E$200,3,FALSE),"")</f>
        <v/>
      </c>
      <c r="N16" s="5"/>
    </row>
    <row r="17" spans="2:14" x14ac:dyDescent="0.25">
      <c r="B17" s="4"/>
      <c r="G17" t="str">
        <f>IFERROR(VLOOKUP($F$15,'ingredient table'!$D$13:$N$200,6,FALSE),"")</f>
        <v>saltpeter</v>
      </c>
      <c r="H17">
        <f>IFERROR(VLOOKUP($F$15,'ingredient table'!$D$13:$N$200,7,FALSE),"")</f>
        <v>2</v>
      </c>
      <c r="I17">
        <f>IFERROR(VLOOKUP($G17,vals!$A$8:$E$200,3,FALSE)*(1-$E$15),"")</f>
        <v>9.35</v>
      </c>
      <c r="J17" t="str">
        <f>IFERROR(VLOOKUP($F17,vals!$A$8:$E$200,3,FALSE),"")</f>
        <v/>
      </c>
      <c r="N17" s="5"/>
    </row>
    <row r="18" spans="2:14" x14ac:dyDescent="0.25">
      <c r="B18" s="4"/>
      <c r="G18">
        <f>IFERROR(VLOOKUP($F$15,'ingredient table'!$D$13:$N$200,8,FALSE),"")</f>
        <v>0</v>
      </c>
      <c r="H18">
        <f>IFERROR(VLOOKUP($F$15,'ingredient table'!$D$13:$N$200,9,FALSE),"")</f>
        <v>0</v>
      </c>
      <c r="I18" t="str">
        <f>IFERROR(VLOOKUP($G18,vals!$A$8:$E$200,3,FALSE)*(1-$E$15),"")</f>
        <v/>
      </c>
      <c r="J18" t="str">
        <f>IFERROR(VLOOKUP($F18,vals!$A$8:$E$200,3,FALSE),"")</f>
        <v/>
      </c>
      <c r="N18" s="5"/>
    </row>
    <row r="19" spans="2:14" x14ac:dyDescent="0.25">
      <c r="B19" s="4"/>
      <c r="G19">
        <f>IFERROR(VLOOKUP($F$15,'ingredient table'!$D$13:$N$200,10,FALSE),"")</f>
        <v>0</v>
      </c>
      <c r="H19">
        <f>IFERROR(VLOOKUP($F$15,'ingredient table'!$D$13:$N$200,11,FALSE),"")</f>
        <v>0</v>
      </c>
      <c r="I19" t="str">
        <f>IFERROR(VLOOKUP($G19,vals!$A$8:$E$200,3,FALSE)*(1-$E$15),"")</f>
        <v/>
      </c>
      <c r="J19" t="str">
        <f>IFERROR(VLOOKUP($F19,vals!$A$8:$E$200,3,FALSE),"")</f>
        <v/>
      </c>
      <c r="N19" s="5"/>
    </row>
    <row r="20" spans="2:14" x14ac:dyDescent="0.25">
      <c r="B20" s="4"/>
      <c r="I20" t="str">
        <f>IFERROR(VLOOKUP($G20,vals!$A$8:$E$200,3,FALSE),"")</f>
        <v/>
      </c>
      <c r="J20" t="str">
        <f>IFERROR(VLOOKUP($F20,vals!$A$8:$E$200,3,FALSE),"")</f>
        <v/>
      </c>
    </row>
    <row r="21" spans="2:14" x14ac:dyDescent="0.25">
      <c r="B21" s="4"/>
      <c r="I21" t="str">
        <f>IFERROR(VLOOKUP($G21,vals!$A$8:$E$200,3,FALSE),"")</f>
        <v/>
      </c>
      <c r="J21" t="str">
        <f>IFERROR(VLOOKUP($F21,vals!$A$8:$E$200,3,FALSE),"")</f>
        <v/>
      </c>
      <c r="L21" s="5"/>
    </row>
    <row r="22" spans="2:14" x14ac:dyDescent="0.25">
      <c r="B22" s="4"/>
      <c r="I22" t="str">
        <f>IFERROR(VLOOKUP($G22,vals!$A$8:$E$200,3,FALSE),"")</f>
        <v/>
      </c>
      <c r="J22" t="str">
        <f>IFERROR(VLOOKUP($F22,vals!$A$8:$E$200,3,FALSE),"")</f>
        <v/>
      </c>
    </row>
    <row r="23" spans="2:14" x14ac:dyDescent="0.25">
      <c r="B23" s="4"/>
    </row>
    <row r="24" spans="2:14" x14ac:dyDescent="0.25">
      <c r="B24" s="4"/>
    </row>
    <row r="25" spans="2:14" x14ac:dyDescent="0.25">
      <c r="B25" s="4"/>
    </row>
    <row r="26" spans="2:14" x14ac:dyDescent="0.25">
      <c r="B26" s="4"/>
    </row>
    <row r="27" spans="2:14" x14ac:dyDescent="0.25">
      <c r="B27" s="4"/>
    </row>
    <row r="28" spans="2:14" x14ac:dyDescent="0.25">
      <c r="B28" s="4"/>
    </row>
    <row r="29" spans="2:14" x14ac:dyDescent="0.25">
      <c r="B29" s="4"/>
    </row>
    <row r="30" spans="2:14" x14ac:dyDescent="0.25">
      <c r="B30" s="4"/>
    </row>
    <row r="31" spans="2:14" x14ac:dyDescent="0.25">
      <c r="B31" s="4"/>
    </row>
    <row r="32" spans="2:14" x14ac:dyDescent="0.25">
      <c r="B32" s="4"/>
    </row>
    <row r="33" spans="2:2" x14ac:dyDescent="0.25">
      <c r="B33" s="4"/>
    </row>
    <row r="34" spans="2:2" x14ac:dyDescent="0.25">
      <c r="B34" s="4"/>
    </row>
    <row r="35" spans="2:2" x14ac:dyDescent="0.25">
      <c r="B35" s="4"/>
    </row>
    <row r="36" spans="2:2" x14ac:dyDescent="0.25">
      <c r="B36" s="4"/>
    </row>
    <row r="37" spans="2:2" x14ac:dyDescent="0.25">
      <c r="B37" s="4"/>
    </row>
    <row r="38" spans="2:2" x14ac:dyDescent="0.25">
      <c r="B38" s="4"/>
    </row>
    <row r="39" spans="2:2" x14ac:dyDescent="0.25">
      <c r="B39" s="4"/>
    </row>
    <row r="40" spans="2:2" x14ac:dyDescent="0.25">
      <c r="B40" s="4"/>
    </row>
    <row r="41" spans="2:2" x14ac:dyDescent="0.25">
      <c r="B41" s="4"/>
    </row>
    <row r="42" spans="2:2" x14ac:dyDescent="0.25">
      <c r="B42" s="4"/>
    </row>
    <row r="43" spans="2:2" x14ac:dyDescent="0.25">
      <c r="B43" s="4"/>
    </row>
    <row r="44" spans="2:2" x14ac:dyDescent="0.25">
      <c r="B44" s="4"/>
    </row>
    <row r="45" spans="2:2" x14ac:dyDescent="0.25">
      <c r="B45" s="4"/>
    </row>
    <row r="46" spans="2:2" x14ac:dyDescent="0.25">
      <c r="B46" s="4"/>
    </row>
    <row r="47" spans="2:2" x14ac:dyDescent="0.25">
      <c r="B47" s="4"/>
    </row>
    <row r="48" spans="2:2" x14ac:dyDescent="0.25">
      <c r="B48" s="4"/>
    </row>
    <row r="49" spans="2:2" x14ac:dyDescent="0.25">
      <c r="B49" s="4"/>
    </row>
    <row r="50" spans="2:2" x14ac:dyDescent="0.25">
      <c r="B50" s="4"/>
    </row>
    <row r="51" spans="2:2" x14ac:dyDescent="0.25">
      <c r="B51" s="4"/>
    </row>
    <row r="52" spans="2:2" x14ac:dyDescent="0.25">
      <c r="B52" s="4"/>
    </row>
    <row r="53" spans="2:2" x14ac:dyDescent="0.25">
      <c r="B53" s="4"/>
    </row>
    <row r="54" spans="2:2" x14ac:dyDescent="0.25">
      <c r="B54" s="4"/>
    </row>
    <row r="55" spans="2:2" x14ac:dyDescent="0.25">
      <c r="B55" s="4"/>
    </row>
    <row r="56" spans="2:2" x14ac:dyDescent="0.25">
      <c r="B56" s="4"/>
    </row>
    <row r="57" spans="2:2" x14ac:dyDescent="0.25">
      <c r="B57" s="4"/>
    </row>
    <row r="58" spans="2:2" x14ac:dyDescent="0.25">
      <c r="B58" s="4"/>
    </row>
    <row r="59" spans="2:2" x14ac:dyDescent="0.25">
      <c r="B59" s="4"/>
    </row>
    <row r="60" spans="2:2" x14ac:dyDescent="0.25">
      <c r="B60" s="4"/>
    </row>
    <row r="61" spans="2:2" x14ac:dyDescent="0.25">
      <c r="B61" s="4"/>
    </row>
    <row r="62" spans="2:2" x14ac:dyDescent="0.25">
      <c r="B62" s="4"/>
    </row>
    <row r="63" spans="2:2" x14ac:dyDescent="0.25">
      <c r="B63" s="4"/>
    </row>
    <row r="64" spans="2:2" x14ac:dyDescent="0.25">
      <c r="B64" s="4"/>
    </row>
    <row r="65" spans="2:2" x14ac:dyDescent="0.25">
      <c r="B65" s="4"/>
    </row>
    <row r="66" spans="2:2" x14ac:dyDescent="0.25">
      <c r="B66" s="4"/>
    </row>
    <row r="67" spans="2:2" x14ac:dyDescent="0.25">
      <c r="B67" s="4"/>
    </row>
    <row r="68" spans="2:2" x14ac:dyDescent="0.25">
      <c r="B68" s="4"/>
    </row>
    <row r="69" spans="2:2" x14ac:dyDescent="0.25">
      <c r="B69" s="4"/>
    </row>
    <row r="70" spans="2:2" x14ac:dyDescent="0.25">
      <c r="B70" s="4"/>
    </row>
    <row r="71" spans="2:2" x14ac:dyDescent="0.25">
      <c r="B71" s="4"/>
    </row>
    <row r="72" spans="2:2" x14ac:dyDescent="0.25">
      <c r="B72" s="4"/>
    </row>
    <row r="73" spans="2:2" x14ac:dyDescent="0.25">
      <c r="B73" s="4"/>
    </row>
    <row r="74" spans="2:2" x14ac:dyDescent="0.25">
      <c r="B74" s="4"/>
    </row>
    <row r="75" spans="2:2" x14ac:dyDescent="0.25">
      <c r="B75" s="4"/>
    </row>
    <row r="76" spans="2:2" x14ac:dyDescent="0.25">
      <c r="B76" s="4"/>
    </row>
    <row r="77" spans="2:2" x14ac:dyDescent="0.25">
      <c r="B77" s="4"/>
    </row>
    <row r="78" spans="2:2" x14ac:dyDescent="0.25">
      <c r="B78" s="4"/>
    </row>
    <row r="79" spans="2:2" x14ac:dyDescent="0.25">
      <c r="B79" s="4"/>
    </row>
    <row r="80" spans="2:2" x14ac:dyDescent="0.25">
      <c r="B80" s="4"/>
    </row>
    <row r="81" spans="2:2" x14ac:dyDescent="0.25">
      <c r="B81" s="4"/>
    </row>
    <row r="82" spans="2:2" x14ac:dyDescent="0.25">
      <c r="B82" s="4"/>
    </row>
    <row r="83" spans="2:2" x14ac:dyDescent="0.25">
      <c r="B83" s="4"/>
    </row>
    <row r="84" spans="2:2" x14ac:dyDescent="0.25">
      <c r="B84" s="4"/>
    </row>
    <row r="85" spans="2:2" x14ac:dyDescent="0.25">
      <c r="B85" s="4"/>
    </row>
    <row r="86" spans="2:2" x14ac:dyDescent="0.25">
      <c r="B86" s="4"/>
    </row>
    <row r="87" spans="2:2" x14ac:dyDescent="0.25">
      <c r="B87" s="4"/>
    </row>
    <row r="88" spans="2:2" x14ac:dyDescent="0.25">
      <c r="B88" s="4"/>
    </row>
    <row r="89" spans="2:2" x14ac:dyDescent="0.25">
      <c r="B89" s="4"/>
    </row>
    <row r="90" spans="2:2" x14ac:dyDescent="0.25">
      <c r="B90" s="4"/>
    </row>
    <row r="91" spans="2:2" x14ac:dyDescent="0.25">
      <c r="B91" s="4"/>
    </row>
    <row r="92" spans="2:2" x14ac:dyDescent="0.25">
      <c r="B92" s="4"/>
    </row>
    <row r="93" spans="2:2" x14ac:dyDescent="0.25">
      <c r="B93" s="4"/>
    </row>
    <row r="94" spans="2:2" x14ac:dyDescent="0.25">
      <c r="B94" s="4"/>
    </row>
    <row r="95" spans="2:2" x14ac:dyDescent="0.25">
      <c r="B95" s="4"/>
    </row>
    <row r="96" spans="2:2" x14ac:dyDescent="0.25">
      <c r="B96" s="4"/>
    </row>
    <row r="97" spans="2:2" x14ac:dyDescent="0.25">
      <c r="B97" s="4"/>
    </row>
    <row r="98" spans="2:2" x14ac:dyDescent="0.25">
      <c r="B98" s="4"/>
    </row>
    <row r="99" spans="2:2" x14ac:dyDescent="0.25">
      <c r="B99" s="4"/>
    </row>
    <row r="100" spans="2:2" x14ac:dyDescent="0.25">
      <c r="B100" s="4"/>
    </row>
    <row r="101" spans="2:2" x14ac:dyDescent="0.25">
      <c r="B101" s="4"/>
    </row>
    <row r="102" spans="2:2" x14ac:dyDescent="0.25">
      <c r="B102" s="4"/>
    </row>
    <row r="103" spans="2:2" x14ac:dyDescent="0.25">
      <c r="B103" s="4"/>
    </row>
    <row r="104" spans="2:2" x14ac:dyDescent="0.25">
      <c r="B104" s="4"/>
    </row>
    <row r="105" spans="2:2" x14ac:dyDescent="0.25">
      <c r="B105" s="4"/>
    </row>
    <row r="106" spans="2:2" x14ac:dyDescent="0.25">
      <c r="B106" s="4"/>
    </row>
    <row r="107" spans="2:2" x14ac:dyDescent="0.25">
      <c r="B107" s="4"/>
    </row>
    <row r="108" spans="2:2" x14ac:dyDescent="0.25">
      <c r="B108" s="4"/>
    </row>
    <row r="109" spans="2:2" x14ac:dyDescent="0.25">
      <c r="B109" s="4"/>
    </row>
    <row r="110" spans="2:2" x14ac:dyDescent="0.25">
      <c r="B110" s="4"/>
    </row>
    <row r="111" spans="2:2" x14ac:dyDescent="0.25">
      <c r="B111" s="4"/>
    </row>
    <row r="112" spans="2:2" x14ac:dyDescent="0.25">
      <c r="B112" s="4"/>
    </row>
    <row r="113" spans="2:2" x14ac:dyDescent="0.25">
      <c r="B113" s="4"/>
    </row>
    <row r="114" spans="2:2" x14ac:dyDescent="0.25">
      <c r="B114" s="4"/>
    </row>
    <row r="115" spans="2:2" x14ac:dyDescent="0.25">
      <c r="B115" s="4"/>
    </row>
    <row r="116" spans="2:2" x14ac:dyDescent="0.25">
      <c r="B116" s="4"/>
    </row>
    <row r="117" spans="2:2" x14ac:dyDescent="0.25">
      <c r="B117" s="4"/>
    </row>
    <row r="118" spans="2:2" x14ac:dyDescent="0.25">
      <c r="B118" s="4"/>
    </row>
    <row r="119" spans="2:2" x14ac:dyDescent="0.25">
      <c r="B119" s="4"/>
    </row>
    <row r="120" spans="2:2" x14ac:dyDescent="0.25">
      <c r="B120" s="4"/>
    </row>
    <row r="121" spans="2:2" x14ac:dyDescent="0.25">
      <c r="B121" s="4"/>
    </row>
    <row r="122" spans="2:2" x14ac:dyDescent="0.25">
      <c r="B122" s="4"/>
    </row>
    <row r="123" spans="2:2" x14ac:dyDescent="0.25">
      <c r="B123" s="4"/>
    </row>
    <row r="124" spans="2:2" x14ac:dyDescent="0.25">
      <c r="B124" s="4"/>
    </row>
    <row r="125" spans="2:2" x14ac:dyDescent="0.25">
      <c r="B125" s="4"/>
    </row>
    <row r="126" spans="2:2" x14ac:dyDescent="0.25">
      <c r="B126" s="4"/>
    </row>
    <row r="127" spans="2:2" x14ac:dyDescent="0.25">
      <c r="B127" s="4"/>
    </row>
    <row r="128" spans="2:2" x14ac:dyDescent="0.25">
      <c r="B128" s="4"/>
    </row>
    <row r="129" spans="2:2" x14ac:dyDescent="0.25">
      <c r="B129" s="4"/>
    </row>
    <row r="130" spans="2:2" x14ac:dyDescent="0.25">
      <c r="B130" s="4"/>
    </row>
    <row r="131" spans="2:2" x14ac:dyDescent="0.25">
      <c r="B131" s="4"/>
    </row>
    <row r="132" spans="2:2" x14ac:dyDescent="0.25">
      <c r="B132" s="4"/>
    </row>
    <row r="133" spans="2:2" x14ac:dyDescent="0.25">
      <c r="B133" s="4"/>
    </row>
    <row r="134" spans="2:2" x14ac:dyDescent="0.25">
      <c r="B134" s="4"/>
    </row>
    <row r="135" spans="2:2" x14ac:dyDescent="0.25">
      <c r="B135" s="4"/>
    </row>
    <row r="136" spans="2:2" x14ac:dyDescent="0.25">
      <c r="B136" s="4"/>
    </row>
    <row r="137" spans="2:2" x14ac:dyDescent="0.25">
      <c r="B137" s="4"/>
    </row>
    <row r="138" spans="2:2" x14ac:dyDescent="0.25">
      <c r="B138" s="4"/>
    </row>
    <row r="139" spans="2:2" x14ac:dyDescent="0.25">
      <c r="B139" s="4"/>
    </row>
    <row r="140" spans="2:2" x14ac:dyDescent="0.25">
      <c r="B140" s="4"/>
    </row>
    <row r="141" spans="2:2" x14ac:dyDescent="0.25">
      <c r="B141" s="4"/>
    </row>
    <row r="142" spans="2:2" x14ac:dyDescent="0.25">
      <c r="B142" s="4"/>
    </row>
    <row r="143" spans="2:2" x14ac:dyDescent="0.25">
      <c r="B143" s="4"/>
    </row>
    <row r="144" spans="2:2" x14ac:dyDescent="0.25">
      <c r="B144" s="4"/>
    </row>
    <row r="145" spans="2:2" x14ac:dyDescent="0.25">
      <c r="B145" s="4"/>
    </row>
    <row r="146" spans="2:2" x14ac:dyDescent="0.25">
      <c r="B146" s="4"/>
    </row>
    <row r="147" spans="2:2" x14ac:dyDescent="0.25">
      <c r="B147" s="4"/>
    </row>
    <row r="148" spans="2:2" x14ac:dyDescent="0.25">
      <c r="B148" s="4"/>
    </row>
    <row r="149" spans="2:2" x14ac:dyDescent="0.25">
      <c r="B149" s="4"/>
    </row>
    <row r="150" spans="2:2" x14ac:dyDescent="0.25">
      <c r="B150" s="4"/>
    </row>
    <row r="151" spans="2:2" x14ac:dyDescent="0.25">
      <c r="B151" s="4"/>
    </row>
    <row r="152" spans="2:2" x14ac:dyDescent="0.25">
      <c r="B152" s="4"/>
    </row>
    <row r="153" spans="2:2" x14ac:dyDescent="0.25">
      <c r="B153" s="4"/>
    </row>
    <row r="154" spans="2:2" x14ac:dyDescent="0.25">
      <c r="B154" s="4"/>
    </row>
    <row r="155" spans="2:2" x14ac:dyDescent="0.25">
      <c r="B155" s="4"/>
    </row>
    <row r="156" spans="2:2" x14ac:dyDescent="0.25">
      <c r="B156" s="4"/>
    </row>
    <row r="157" spans="2:2" x14ac:dyDescent="0.25">
      <c r="B157" s="4"/>
    </row>
    <row r="158" spans="2:2" x14ac:dyDescent="0.25">
      <c r="B158" s="4"/>
    </row>
    <row r="159" spans="2:2" x14ac:dyDescent="0.25">
      <c r="B159" s="4"/>
    </row>
    <row r="160" spans="2:2" x14ac:dyDescent="0.25">
      <c r="B160" s="4"/>
    </row>
    <row r="161" spans="2:2" x14ac:dyDescent="0.25">
      <c r="B161" s="4"/>
    </row>
    <row r="162" spans="2:2" x14ac:dyDescent="0.25">
      <c r="B162" s="4"/>
    </row>
    <row r="163" spans="2:2" x14ac:dyDescent="0.25">
      <c r="B163" s="4"/>
    </row>
    <row r="164" spans="2:2" x14ac:dyDescent="0.25">
      <c r="B164" s="4"/>
    </row>
    <row r="165" spans="2:2" x14ac:dyDescent="0.25">
      <c r="B165" s="4"/>
    </row>
    <row r="166" spans="2:2" x14ac:dyDescent="0.25">
      <c r="B166" s="4"/>
    </row>
    <row r="167" spans="2:2" x14ac:dyDescent="0.25">
      <c r="B167" s="4"/>
    </row>
    <row r="168" spans="2:2" x14ac:dyDescent="0.25">
      <c r="B168" s="4"/>
    </row>
    <row r="169" spans="2:2" x14ac:dyDescent="0.25">
      <c r="B169" s="4"/>
    </row>
    <row r="170" spans="2:2" x14ac:dyDescent="0.25">
      <c r="B170" s="4"/>
    </row>
    <row r="171" spans="2:2" x14ac:dyDescent="0.25">
      <c r="B171" s="4"/>
    </row>
    <row r="172" spans="2:2" x14ac:dyDescent="0.25">
      <c r="B172" s="4"/>
    </row>
    <row r="173" spans="2:2" x14ac:dyDescent="0.25">
      <c r="B173" s="4"/>
    </row>
    <row r="174" spans="2:2" x14ac:dyDescent="0.25">
      <c r="B174" s="4"/>
    </row>
    <row r="175" spans="2:2" x14ac:dyDescent="0.25">
      <c r="B175" s="4"/>
    </row>
    <row r="176" spans="2:2" x14ac:dyDescent="0.25">
      <c r="B176" s="4"/>
    </row>
    <row r="177" spans="2:2" x14ac:dyDescent="0.25">
      <c r="B177" s="4"/>
    </row>
    <row r="178" spans="2:2" x14ac:dyDescent="0.25">
      <c r="B178" s="4"/>
    </row>
    <row r="179" spans="2:2" x14ac:dyDescent="0.25">
      <c r="B179" s="4"/>
    </row>
    <row r="180" spans="2:2" x14ac:dyDescent="0.25">
      <c r="B180" s="4"/>
    </row>
    <row r="181" spans="2:2" x14ac:dyDescent="0.25">
      <c r="B181" s="4"/>
    </row>
    <row r="182" spans="2:2" x14ac:dyDescent="0.25">
      <c r="B182" s="4"/>
    </row>
    <row r="183" spans="2:2" x14ac:dyDescent="0.25">
      <c r="B183" s="4"/>
    </row>
    <row r="184" spans="2:2" x14ac:dyDescent="0.25">
      <c r="B184" s="4"/>
    </row>
    <row r="185" spans="2:2" x14ac:dyDescent="0.25">
      <c r="B185" s="4"/>
    </row>
    <row r="186" spans="2:2" x14ac:dyDescent="0.25">
      <c r="B186" s="4"/>
    </row>
    <row r="187" spans="2:2" x14ac:dyDescent="0.25">
      <c r="B187" s="4"/>
    </row>
    <row r="188" spans="2:2" x14ac:dyDescent="0.25">
      <c r="B188" s="4"/>
    </row>
    <row r="189" spans="2:2" x14ac:dyDescent="0.25">
      <c r="B189" s="4"/>
    </row>
    <row r="190" spans="2:2" x14ac:dyDescent="0.25">
      <c r="B190" s="4"/>
    </row>
    <row r="191" spans="2:2" x14ac:dyDescent="0.25">
      <c r="B191" s="4"/>
    </row>
    <row r="192" spans="2:2" x14ac:dyDescent="0.25">
      <c r="B192" s="4"/>
    </row>
    <row r="193" spans="2:2" x14ac:dyDescent="0.25">
      <c r="B193" s="4"/>
    </row>
    <row r="194" spans="2:2" x14ac:dyDescent="0.25">
      <c r="B194" s="4"/>
    </row>
    <row r="195" spans="2:2" x14ac:dyDescent="0.25">
      <c r="B195" s="4"/>
    </row>
    <row r="196" spans="2:2" x14ac:dyDescent="0.25">
      <c r="B196" s="4"/>
    </row>
    <row r="197" spans="2:2" x14ac:dyDescent="0.25">
      <c r="B197" s="4"/>
    </row>
    <row r="198" spans="2:2" x14ac:dyDescent="0.25">
      <c r="B198" s="4"/>
    </row>
    <row r="199" spans="2:2" x14ac:dyDescent="0.25">
      <c r="B199" s="4"/>
    </row>
    <row r="200" spans="2:2" x14ac:dyDescent="0.25">
      <c r="B200" s="4"/>
    </row>
    <row r="201" spans="2:2" x14ac:dyDescent="0.25">
      <c r="B201" s="4"/>
    </row>
  </sheetData>
  <mergeCells count="1">
    <mergeCell ref="F8:G10"/>
  </mergeCells>
  <hyperlinks>
    <hyperlink ref="J11" r:id="rId1" display="https://www.ozgrid.com/forum/index.php?thread/134028-loop-through-excel-drop-down-list-and-copy-paste-the-value/" xr:uid="{AA39E7AA-7891-4E2E-9716-44E589F776BC}"/>
  </hyperlinks>
  <pageMargins left="0.7" right="0.7" top="0.75" bottom="0.75" header="0.3" footer="0.3"/>
  <pageSetup orientation="portrait"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9921E7A-0BDB-40B7-9BD1-51F29780146E}">
          <x14:formula1>
            <xm:f>vals!$A$7:$A$200</xm:f>
          </x14:formula1>
          <xm:sqref>G20:G22</xm:sqref>
        </x14:dataValidation>
        <x14:dataValidation type="list" allowBlank="1" showInputMessage="1" showErrorMessage="1" xr:uid="{AA8A6B06-F62F-4F8E-A483-EA113D61EED0}">
          <x14:formula1>
            <xm:f>'ingredient table'!$D$13:$D$212</xm:f>
          </x14:formula1>
          <xm:sqref>F15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Notes</vt:lpstr>
      <vt:lpstr>experience</vt:lpstr>
      <vt:lpstr>vals</vt:lpstr>
      <vt:lpstr>ingredient table</vt:lpstr>
      <vt:lpstr>profit calc buy inputs</vt:lpstr>
      <vt:lpstr>profit calc produce inputs</vt:lpstr>
      <vt:lpstr>itemNames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Rowe</dc:creator>
  <cp:lastModifiedBy>Matt Rowe</cp:lastModifiedBy>
  <cp:lastPrinted>2022-02-11T04:29:34Z</cp:lastPrinted>
  <dcterms:created xsi:type="dcterms:W3CDTF">2015-06-05T18:17:20Z</dcterms:created>
  <dcterms:modified xsi:type="dcterms:W3CDTF">2022-02-16T18:11:50Z</dcterms:modified>
</cp:coreProperties>
</file>