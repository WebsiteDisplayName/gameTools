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B0F1501C-5D2E-455A-80C3-8B8778E7C682}" xr6:coauthVersionLast="47" xr6:coauthVersionMax="47" xr10:uidLastSave="{00000000-0000-0000-0000-000000000000}"/>
  <bookViews>
    <workbookView xWindow="35670" yWindow="4185" windowWidth="21600" windowHeight="11295" activeTab="6" xr2:uid="{00000000-000D-0000-FFFF-FFFF00000000}"/>
  </bookViews>
  <sheets>
    <sheet name="animals" sheetId="9" r:id="rId1"/>
    <sheet name="Notes" sheetId="6" r:id="rId2"/>
    <sheet name="crafting" sheetId="8" r:id="rId3"/>
    <sheet name="vals" sheetId="1" r:id="rId4"/>
    <sheet name="ingredient table" sheetId="4" r:id="rId5"/>
    <sheet name="profit calc buy inputs" sheetId="5" r:id="rId6"/>
    <sheet name="profit calc produce inputs" sheetId="7" r:id="rId7"/>
  </sheets>
  <definedNames>
    <definedName name="itemNames">vals!$A$8:$A$200</definedName>
    <definedName name="solver_adj" localSheetId="2" hidden="1">crafting!$K$9:$K$13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crafting!$K$14</definedName>
    <definedName name="solver_lhs2" localSheetId="2" hidden="1">crafting!$K$9:$K$13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crafting!$O$9</definedName>
    <definedName name="solver_pre" localSheetId="2" hidden="1">0.000001</definedName>
    <definedName name="solver_rbv" localSheetId="2" hidden="1">2</definedName>
    <definedName name="solver_rel1" localSheetId="2" hidden="1">2</definedName>
    <definedName name="solver_rel2" localSheetId="2" hidden="1">4</definedName>
    <definedName name="solver_rhs1" localSheetId="2" hidden="1">crafting!$H$5</definedName>
    <definedName name="solver_rhs2" localSheetId="2" hidden="1">"integer"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8" l="1"/>
  <c r="L12" i="8" l="1"/>
  <c r="M12" i="8" s="1"/>
  <c r="L13" i="8"/>
  <c r="M13" i="8" s="1"/>
  <c r="K14" i="8"/>
  <c r="I12" i="8"/>
  <c r="J12" i="8" s="1"/>
  <c r="I13" i="8"/>
  <c r="L10" i="8"/>
  <c r="M10" i="8" s="1"/>
  <c r="L11" i="8"/>
  <c r="M11" i="8" s="1"/>
  <c r="L9" i="8"/>
  <c r="M9" i="8" s="1"/>
  <c r="I10" i="8"/>
  <c r="I11" i="8"/>
  <c r="I9" i="8"/>
  <c r="J15" i="7"/>
  <c r="K15" i="7" s="1"/>
  <c r="J22" i="7"/>
  <c r="I22" i="7"/>
  <c r="J21" i="7"/>
  <c r="I21" i="7"/>
  <c r="J20" i="7"/>
  <c r="I20" i="7"/>
  <c r="J19" i="7"/>
  <c r="H19" i="7"/>
  <c r="G19" i="7"/>
  <c r="I19" i="7" s="1"/>
  <c r="J18" i="7"/>
  <c r="H18" i="7"/>
  <c r="G18" i="7"/>
  <c r="I18" i="7" s="1"/>
  <c r="J17" i="7"/>
  <c r="H17" i="7"/>
  <c r="G17" i="7"/>
  <c r="I17" i="7" s="1"/>
  <c r="J16" i="7"/>
  <c r="H16" i="7"/>
  <c r="G16" i="7"/>
  <c r="I16" i="7" s="1"/>
  <c r="H15" i="7"/>
  <c r="G15" i="7"/>
  <c r="I15" i="7" s="1"/>
  <c r="J15" i="5"/>
  <c r="K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G15" i="5"/>
  <c r="I15" i="5" s="1"/>
  <c r="J22" i="5"/>
  <c r="I22" i="5"/>
  <c r="J21" i="5"/>
  <c r="I21" i="5"/>
  <c r="J20" i="5"/>
  <c r="I20" i="5"/>
  <c r="J19" i="5"/>
  <c r="J18" i="5"/>
  <c r="J17" i="5"/>
  <c r="J16" i="5"/>
  <c r="J9" i="8" l="1"/>
  <c r="J10" i="8"/>
  <c r="J11" i="8"/>
  <c r="J13" i="8"/>
  <c r="O9" i="8"/>
  <c r="N15" i="7"/>
  <c r="L15" i="7"/>
  <c r="M15" i="7" s="1"/>
  <c r="N15" i="5"/>
  <c r="L15" i="5"/>
  <c r="M15" i="5" s="1"/>
  <c r="J14" i="8" l="1"/>
</calcChain>
</file>

<file path=xl/sharedStrings.xml><?xml version="1.0" encoding="utf-8"?>
<sst xmlns="http://schemas.openxmlformats.org/spreadsheetml/2006/main" count="210" uniqueCount="109">
  <si>
    <t>Item Name</t>
  </si>
  <si>
    <t>Category</t>
  </si>
  <si>
    <t>Last updated</t>
  </si>
  <si>
    <t>raw meat</t>
  </si>
  <si>
    <t>na</t>
  </si>
  <si>
    <t>coarse hide</t>
  </si>
  <si>
    <t>fine hide</t>
  </si>
  <si>
    <t>flawless hide</t>
  </si>
  <si>
    <t>animal fur</t>
  </si>
  <si>
    <t>animal fat</t>
  </si>
  <si>
    <t>animal</t>
  </si>
  <si>
    <t>rare hide</t>
  </si>
  <si>
    <t>bone</t>
  </si>
  <si>
    <t>tendon</t>
  </si>
  <si>
    <t>horn</t>
  </si>
  <si>
    <t>fang</t>
  </si>
  <si>
    <t>mining</t>
  </si>
  <si>
    <t>copper ore</t>
  </si>
  <si>
    <t>iron ore</t>
  </si>
  <si>
    <t>characteristics</t>
  </si>
  <si>
    <t>black iron ore</t>
  </si>
  <si>
    <t>meteoric iron ore</t>
  </si>
  <si>
    <t>min selling price</t>
  </si>
  <si>
    <t>jade</t>
  </si>
  <si>
    <t>brimstone</t>
  </si>
  <si>
    <t>saltpeter</t>
  </si>
  <si>
    <t>coal</t>
  </si>
  <si>
    <t>crude salt</t>
  </si>
  <si>
    <t>black stone</t>
  </si>
  <si>
    <t>clay</t>
  </si>
  <si>
    <t>kaolin</t>
  </si>
  <si>
    <t>realgar</t>
  </si>
  <si>
    <t>rubble</t>
  </si>
  <si>
    <t>sand</t>
  </si>
  <si>
    <t>gypsum</t>
  </si>
  <si>
    <t>stone</t>
  </si>
  <si>
    <t>complete stone</t>
  </si>
  <si>
    <t>rare stone</t>
  </si>
  <si>
    <t>cutin</t>
  </si>
  <si>
    <t>ingot</t>
  </si>
  <si>
    <t>steel ingot</t>
  </si>
  <si>
    <t>copper ingot</t>
  </si>
  <si>
    <t>iron ingot</t>
  </si>
  <si>
    <t>black iron ingot</t>
  </si>
  <si>
    <t>meteoric iron ingot</t>
  </si>
  <si>
    <t>input name</t>
  </si>
  <si>
    <t>output name</t>
  </si>
  <si>
    <t>input quantity</t>
  </si>
  <si>
    <t>market input price</t>
  </si>
  <si>
    <t>market output price</t>
  </si>
  <si>
    <t>Tax Rate</t>
  </si>
  <si>
    <t>implied market output price to break even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</si>
  <si>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</si>
  <si>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</si>
  <si>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</si>
  <si>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</si>
  <si>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</si>
  <si>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</si>
  <si>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</si>
  <si>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</si>
  <si>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</si>
  <si>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</si>
  <si>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</si>
  <si>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vegetable oil</t>
  </si>
  <si>
    <t>plant</t>
  </si>
  <si>
    <t>low-quality flax</t>
  </si>
  <si>
    <t>bark</t>
  </si>
  <si>
    <t>linen</t>
  </si>
  <si>
    <t>cloth</t>
  </si>
  <si>
    <t>coarse cloth</t>
  </si>
  <si>
    <t xml:space="preserve">common flax </t>
  </si>
  <si>
    <t>common flax</t>
  </si>
  <si>
    <t>raw leather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</si>
  <si>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</si>
  <si>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</si>
  <si>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</si>
  <si>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Manufacturing Profit</t>
  </si>
  <si>
    <t>after-tax income from selling at market price</t>
  </si>
  <si>
    <t>cost of production</t>
  </si>
  <si>
    <t>after-tax market output price</t>
  </si>
  <si>
    <t>At current crafting profiency, takes 3x less time to craft copper, e.g. 15 seconds w/ out using, 5 seconds using</t>
  </si>
  <si>
    <t>make new manufacturing calculator that instead of buying inputs from the market, you mine/produce the raw resources yourself</t>
  </si>
  <si>
    <t>the input cost of these items would be the profit from selling to the market, i.e. the market price*(1-tax rate)</t>
  </si>
  <si>
    <t>fix current calc macro, need to current 2 functions, rename the sheet inputs as I changed the sheet names</t>
  </si>
  <si>
    <t>run macro:
ctrl + m
or, developer &gt; macros &gt; buyInputs &gt; run</t>
  </si>
  <si>
    <t>run macro:
ctrl + p
or, developer &gt; macros &gt; produceInputs &gt; run</t>
  </si>
  <si>
    <t>warrior</t>
  </si>
  <si>
    <t>lvl</t>
  </si>
  <si>
    <t>price</t>
  </si>
  <si>
    <t>bow</t>
  </si>
  <si>
    <t>item</t>
  </si>
  <si>
    <t>quantity</t>
  </si>
  <si>
    <t>inventory max stacks</t>
  </si>
  <si>
    <t>available stacks</t>
  </si>
  <si>
    <t>weighted distribution</t>
  </si>
  <si>
    <t>stacks</t>
  </si>
  <si>
    <t>stacks trial</t>
  </si>
  <si>
    <t>items</t>
  </si>
  <si>
    <t>tester</t>
  </si>
  <si>
    <t>Minimum</t>
  </si>
  <si>
    <t>number of outputs</t>
  </si>
  <si>
    <t>data &gt; solver &gt; solve</t>
  </si>
  <si>
    <t>animal name</t>
  </si>
  <si>
    <t>rhinoceros</t>
  </si>
  <si>
    <t>meat</t>
  </si>
  <si>
    <t>bones</t>
  </si>
  <si>
    <t>~55</t>
  </si>
  <si>
    <t>boar</t>
  </si>
  <si>
    <t>bonemeal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</si>
</sst>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22" fontId="0" fillId="8" borderId="0" xfId="0" applyNumberFormat="1" applyFill="1"/>
    <xf numFmtId="0" fontId="0" fillId="9" borderId="0" xfId="0" applyFill="1"/>
    <xf numFmtId="22" fontId="0" fillId="9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0" fontId="0" fillId="13" borderId="0" xfId="0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21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E200" totalsRowShown="0" headerRowDxfId="20">
  <autoFilter ref="A7:E200" xr:uid="{B7280AC4-A237-468B-B74F-2CE9C052ED05}"/>
  <sortState xmlns:xlrd2="http://schemas.microsoft.com/office/spreadsheetml/2017/richdata2" ref="A8:E80">
    <sortCondition ref="B7:B200"/>
  </sortState>
  <tableColumns count="5">
    <tableColumn id="1" xr3:uid="{02511A4C-907E-4265-B002-8CD8853B0324}" name="Item Name"/>
    <tableColumn id="2" xr3:uid="{0549DBE8-F7D3-440F-B1BD-FA4872F0E32A}" name="Category"/>
    <tableColumn id="3" xr3:uid="{8D9FD4F1-4DD1-4BCE-8C4D-5050F8C21EB5}" name="min selling pric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N200" totalsRowShown="0">
  <autoFilter ref="D12:N200" xr:uid="{9F0016A1-758D-45C4-91BF-873B558EE650}"/>
  <tableColumns count="11">
    <tableColumn id="1" xr3:uid="{CDD36B55-E45C-4797-8BC2-908676E9CE93}" name="output produc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E14:N19" totalsRowShown="0" headerRowDxfId="19">
  <autoFilter ref="E14:N19" xr:uid="{B211B308-D116-40B4-BC69-DB7F5617B2F3}"/>
  <tableColumns count="10">
    <tableColumn id="8" xr3:uid="{D3CE3A6C-76BF-40B4-BCCE-8AFC87B3B5E2}" name="Tax Rate"/>
    <tableColumn id="1" xr3:uid="{B98CF6CE-FD5D-4F37-9E3F-C57ABFC24F71}" name="output name"/>
    <tableColumn id="2" xr3:uid="{7B09EA4C-40BB-48C3-943F-71EF8CF565D7}" name="input name" dataDxfId="18">
      <calculatedColumnFormula>IFERROR(VLOOKUP($F$15,'ingredient table'!$D$13:$N$267,4,FALSE),"")</calculatedColumnFormula>
    </tableColumn>
    <tableColumn id="3" xr3:uid="{9CE0BC4B-00A3-4550-B86E-244440FBD0B1}" name="input quantity">
      <calculatedColumnFormula>IFERROR(VLOOKUP($F$15,'ingredient table'!$D$13:$N$267,3,FALSE),"")</calculatedColumnFormula>
    </tableColumn>
    <tableColumn id="4" xr3:uid="{FDB85396-D278-4144-BA78-1EA731756E1E}" name="market input price" dataDxfId="17">
      <calculatedColumnFormula>IFERROR(VLOOKUP($G15,vals!$A$8:$E$200,3,FALSE),"")</calculatedColumnFormula>
    </tableColumn>
    <tableColumn id="5" xr3:uid="{35E14541-1607-4A67-847B-85E87247BA7A}" name="market output price" dataDxfId="16">
      <calculatedColumnFormula>IFERROR(VLOOKUP($F15,vals!$A$8:$E$200,3,FALSE),"")</calculatedColumnFormula>
    </tableColumn>
    <tableColumn id="12" xr3:uid="{7264620B-2DFB-45BC-B71F-8D2E840D461B}" name="after-tax market output price"/>
    <tableColumn id="6" xr3:uid="{9A18F587-16DF-4409-B48B-673FBDFC39CC}" name="cost of production" dataDxfId="15">
      <calculatedColumnFormula>SUMPRODUCT(H15:H19,I15:I19)/(1-Table134[[#This Row],[Tax Rate]])</calculatedColumnFormula>
    </tableColumn>
    <tableColumn id="7" xr3:uid="{CC4660E4-5569-4E0D-9CE9-307695D2B77A}" name="manufacturing profit" dataDxfId="14">
      <calculatedColumnFormula>Table134[[#This Row],[market output price]]-Table134[[#This Row],[cost of production]]</calculatedColumnFormula>
    </tableColumn>
    <tableColumn id="10" xr3:uid="{62CB0614-F222-4C80-853A-3694909BFE9F}" name="implied market output price to break even" dataDxfId="1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B1048576" totalsRowShown="0" headerRowDxfId="12" headerRowBorderDxfId="11" tableBorderDxfId="1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3B4B9EF1-B019-4AA7-8583-8085AC7104A1}" name="Item Name"/>
    <tableColumn id="2" xr3:uid="{3AB33DA5-36C9-4E74-BB07-406CF16B5994}" name="Manufacturing Profi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B8A241-4513-4814-93B3-00DC53C41DD3}" name="Table1345" displayName="Table1345" ref="E14:N19" totalsRowShown="0" headerRowDxfId="9">
  <autoFilter ref="E14:N19" xr:uid="{B211B308-D116-40B4-BC69-DB7F5617B2F3}"/>
  <tableColumns count="10">
    <tableColumn id="8" xr3:uid="{4A64382C-9AAA-4E11-9EED-EC3758CC4BD9}" name="Tax Rate"/>
    <tableColumn id="1" xr3:uid="{81F04F09-C6D6-4B42-8968-9F56EF7A98E7}" name="output name"/>
    <tableColumn id="2" xr3:uid="{0101E69C-7480-4D23-8068-F531D25BDC03}" name="input name" dataDxfId="8">
      <calculatedColumnFormula>IFERROR(VLOOKUP($F$15,'ingredient table'!$D$13:$N$267,4,FALSE),"")</calculatedColumnFormula>
    </tableColumn>
    <tableColumn id="3" xr3:uid="{AC4AA1FF-AF4B-4FDC-9E5B-D46DE9CD1CF0}" name="input quantity">
      <calculatedColumnFormula>IFERROR(VLOOKUP($F$15,'ingredient table'!$D$13:$N$267,3,FALSE),"")</calculatedColumnFormula>
    </tableColumn>
    <tableColumn id="4" xr3:uid="{BED7B761-1592-4125-A7B4-E52AF4193AC9}" name="market input price" dataDxfId="7">
      <calculatedColumnFormula>IFERROR(VLOOKUP($G15,vals!$A$8:$E$200,3,FALSE)*(1-$E$15),"")</calculatedColumnFormula>
    </tableColumn>
    <tableColumn id="5" xr3:uid="{640D8888-572B-4B9E-A30C-BB6EC2BD3939}" name="market output price" dataDxfId="6">
      <calculatedColumnFormula>IFERROR(VLOOKUP($F15,vals!$A$8:$E$200,3,FALSE),"")</calculatedColumnFormula>
    </tableColumn>
    <tableColumn id="12" xr3:uid="{A77E4BA9-C69D-44C0-B009-FE6DF6ABA521}" name="after-tax market output price"/>
    <tableColumn id="6" xr3:uid="{DC6B3D9F-FEC6-40CF-88AF-99BC41F5464C}" name="cost of production" dataDxfId="5">
      <calculatedColumnFormula>SUMPRODUCT(H15:H19,I15:I19)/(1-Table1345[[#This Row],[Tax Rate]])</calculatedColumnFormula>
    </tableColumn>
    <tableColumn id="7" xr3:uid="{4127F4F9-6D83-4E6D-93BB-C4348A6F77A4}" name="manufacturing profit" dataDxfId="4">
      <calculatedColumnFormula>Table1345[[#This Row],[market output price]]-Table1345[[#This Row],[cost of production]]</calculatedColumnFormula>
    </tableColumn>
    <tableColumn id="10" xr3:uid="{1F3277AB-CBAF-44CE-8FB1-DEC461A5CE3F}" name="implied market output price to break even" dataDxfId="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B8BC17-A44D-44B9-8823-3AA1B97F1A35}" name="Table57" displayName="Table57" ref="A1:B1048576" totalsRowShown="0" headerRowDxfId="2" headerRowBorderDxfId="1" tableBorderDxfId="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C8587C52-B520-412C-A334-A4E902B52927}" name="Item Name"/>
    <tableColumn id="2" xr3:uid="{29B0DE50-039B-44CB-8EF4-BCAE14B236AA}" name="Manufacturing 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zgrid.com/forum/index.php?thread/134028-loop-through-excel-drop-down-list-and-copy-paste-the-value/" TargetMode="Externa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17261-C724-4FDC-9266-34F459AFEAF6}">
  <sheetPr codeName="Sheet6"/>
  <dimension ref="C10:K12"/>
  <sheetViews>
    <sheetView workbookViewId="0">
      <selection activeCell="D17" sqref="D17"/>
    </sheetView>
  </sheetViews>
  <sheetFormatPr defaultRowHeight="15" x14ac:dyDescent="0.25"/>
  <cols>
    <col min="4" max="4" width="12.42578125" bestFit="1" customWidth="1"/>
    <col min="5" max="5" width="9.85546875" bestFit="1" customWidth="1"/>
    <col min="6" max="6" width="5.5703125" bestFit="1" customWidth="1"/>
    <col min="8" max="8" width="11.140625" bestFit="1" customWidth="1"/>
    <col min="9" max="9" width="12.7109375" bestFit="1" customWidth="1"/>
  </cols>
  <sheetData>
    <row r="10" spans="3:11" x14ac:dyDescent="0.25">
      <c r="C10" t="s">
        <v>87</v>
      </c>
      <c r="D10" t="s">
        <v>102</v>
      </c>
      <c r="E10" t="s">
        <v>9</v>
      </c>
      <c r="F10" t="s">
        <v>104</v>
      </c>
      <c r="G10" t="s">
        <v>105</v>
      </c>
      <c r="H10" t="s">
        <v>5</v>
      </c>
      <c r="I10" t="s">
        <v>6</v>
      </c>
      <c r="J10" t="s">
        <v>7</v>
      </c>
      <c r="K10" t="s">
        <v>11</v>
      </c>
    </row>
    <row r="11" spans="3:11" x14ac:dyDescent="0.25">
      <c r="C11">
        <v>57</v>
      </c>
      <c r="D11" t="s">
        <v>103</v>
      </c>
      <c r="E11">
        <v>21</v>
      </c>
      <c r="F11">
        <v>31</v>
      </c>
      <c r="G11">
        <v>24</v>
      </c>
      <c r="H11">
        <v>3</v>
      </c>
      <c r="I11">
        <v>8</v>
      </c>
      <c r="J11">
        <v>3</v>
      </c>
      <c r="K11">
        <v>8</v>
      </c>
    </row>
    <row r="12" spans="3:11" x14ac:dyDescent="0.25">
      <c r="C12" t="s">
        <v>106</v>
      </c>
      <c r="D12" t="s">
        <v>107</v>
      </c>
      <c r="F12">
        <v>50</v>
      </c>
      <c r="G12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8E10-A7AF-487F-8357-09EC376FAE54}">
  <sheetPr codeName="Sheet1"/>
  <dimension ref="C10:C19"/>
  <sheetViews>
    <sheetView workbookViewId="0">
      <selection activeCell="C20" sqref="C20"/>
    </sheetView>
  </sheetViews>
  <sheetFormatPr defaultRowHeight="15" x14ac:dyDescent="0.25"/>
  <sheetData>
    <row r="10" spans="3:3" x14ac:dyDescent="0.25">
      <c r="C10" t="s">
        <v>80</v>
      </c>
    </row>
    <row r="15" spans="3:3" x14ac:dyDescent="0.25">
      <c r="C15" t="s">
        <v>81</v>
      </c>
    </row>
    <row r="16" spans="3:3" x14ac:dyDescent="0.25">
      <c r="C16" t="s">
        <v>82</v>
      </c>
    </row>
    <row r="19" spans="3:3" x14ac:dyDescent="0.25">
      <c r="C19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2F04-965F-4023-996B-0DC383931865}">
  <sheetPr codeName="Sheet7"/>
  <dimension ref="F4:O19"/>
  <sheetViews>
    <sheetView workbookViewId="0">
      <selection activeCell="J4" sqref="J4"/>
    </sheetView>
  </sheetViews>
  <sheetFormatPr defaultRowHeight="15" x14ac:dyDescent="0.25"/>
  <cols>
    <col min="4" max="4" width="12.28515625" bestFit="1" customWidth="1"/>
    <col min="7" max="7" width="19.7109375" bestFit="1" customWidth="1"/>
    <col min="8" max="8" width="17.85546875" bestFit="1" customWidth="1"/>
    <col min="9" max="9" width="20.5703125" bestFit="1" customWidth="1"/>
    <col min="11" max="11" width="11.140625" bestFit="1" customWidth="1"/>
    <col min="13" max="13" width="17.85546875" bestFit="1" customWidth="1"/>
    <col min="15" max="15" width="9.5703125" bestFit="1" customWidth="1"/>
  </cols>
  <sheetData>
    <row r="4" spans="6:15" x14ac:dyDescent="0.25">
      <c r="G4" t="s">
        <v>92</v>
      </c>
      <c r="H4" s="26">
        <v>30</v>
      </c>
    </row>
    <row r="5" spans="6:15" x14ac:dyDescent="0.25">
      <c r="G5" t="s">
        <v>93</v>
      </c>
      <c r="H5">
        <f>H4-2</f>
        <v>28</v>
      </c>
    </row>
    <row r="8" spans="6:15" x14ac:dyDescent="0.25">
      <c r="G8" t="s">
        <v>90</v>
      </c>
      <c r="H8" t="s">
        <v>91</v>
      </c>
      <c r="I8" t="s">
        <v>94</v>
      </c>
      <c r="J8" t="s">
        <v>95</v>
      </c>
      <c r="K8" t="s">
        <v>96</v>
      </c>
      <c r="L8" t="s">
        <v>97</v>
      </c>
      <c r="M8" t="s">
        <v>100</v>
      </c>
      <c r="O8" t="s">
        <v>99</v>
      </c>
    </row>
    <row r="9" spans="6:15" x14ac:dyDescent="0.25">
      <c r="F9">
        <v>1</v>
      </c>
      <c r="G9" s="26" t="s">
        <v>38</v>
      </c>
      <c r="H9" s="26">
        <v>11</v>
      </c>
      <c r="I9" s="3">
        <f>H9/SUM($H$9:$H$11)</f>
        <v>0.42307692307692307</v>
      </c>
      <c r="J9">
        <f>I9*$H$5</f>
        <v>11.846153846153847</v>
      </c>
      <c r="K9" s="26">
        <v>11</v>
      </c>
      <c r="L9">
        <f>K9*100</f>
        <v>1100</v>
      </c>
      <c r="M9">
        <f>IFERROR(L9/H9,"")</f>
        <v>100</v>
      </c>
      <c r="O9">
        <f>MIN(M9:M13)</f>
        <v>100</v>
      </c>
    </row>
    <row r="10" spans="6:15" x14ac:dyDescent="0.25">
      <c r="F10">
        <v>2</v>
      </c>
      <c r="G10" s="26" t="s">
        <v>15</v>
      </c>
      <c r="H10" s="26">
        <v>12</v>
      </c>
      <c r="I10" s="3">
        <f>H10/SUM($H$9:$H$11)</f>
        <v>0.46153846153846156</v>
      </c>
      <c r="J10">
        <f>I10*$H$5</f>
        <v>12.923076923076923</v>
      </c>
      <c r="K10" s="26">
        <v>12</v>
      </c>
      <c r="L10">
        <f t="shared" ref="L10:L13" si="0">K10*100</f>
        <v>1200</v>
      </c>
      <c r="M10">
        <f t="shared" ref="M10:M13" si="1">IFERROR(L10/H10,"")</f>
        <v>100</v>
      </c>
    </row>
    <row r="11" spans="6:15" x14ac:dyDescent="0.25">
      <c r="F11">
        <v>3</v>
      </c>
      <c r="G11" s="26" t="s">
        <v>13</v>
      </c>
      <c r="H11" s="26">
        <v>3</v>
      </c>
      <c r="I11" s="3">
        <f>H11/SUM($H$9:$H$11)</f>
        <v>0.11538461538461539</v>
      </c>
      <c r="J11">
        <f>I11*$H$5</f>
        <v>3.2307692307692308</v>
      </c>
      <c r="K11" s="26">
        <v>4</v>
      </c>
      <c r="L11">
        <f t="shared" si="0"/>
        <v>400</v>
      </c>
      <c r="M11">
        <f t="shared" si="1"/>
        <v>133.33333333333334</v>
      </c>
    </row>
    <row r="12" spans="6:15" x14ac:dyDescent="0.25">
      <c r="F12">
        <v>4</v>
      </c>
      <c r="G12" s="26" t="s">
        <v>108</v>
      </c>
      <c r="H12" s="26">
        <v>1</v>
      </c>
      <c r="I12" s="3">
        <f>H12/SUM($H$9:$H$11)</f>
        <v>3.8461538461538464E-2</v>
      </c>
      <c r="J12">
        <f>I12*$H$5</f>
        <v>1.0769230769230771</v>
      </c>
      <c r="K12" s="26">
        <v>1</v>
      </c>
      <c r="L12">
        <f t="shared" si="0"/>
        <v>100</v>
      </c>
      <c r="M12">
        <f t="shared" si="1"/>
        <v>100</v>
      </c>
    </row>
    <row r="13" spans="6:15" x14ac:dyDescent="0.25">
      <c r="F13">
        <v>5</v>
      </c>
      <c r="G13" s="26"/>
      <c r="H13" s="26"/>
      <c r="I13" s="3">
        <f>H13/SUM($H$9:$H$11)</f>
        <v>0</v>
      </c>
      <c r="J13">
        <f>I13*$H$5</f>
        <v>0</v>
      </c>
      <c r="K13" s="26">
        <v>0</v>
      </c>
      <c r="L13">
        <f t="shared" si="0"/>
        <v>0</v>
      </c>
      <c r="M13" t="str">
        <f t="shared" si="1"/>
        <v/>
      </c>
    </row>
    <row r="14" spans="6:15" x14ac:dyDescent="0.25">
      <c r="J14">
        <f>SUM(J9:J13)</f>
        <v>29.076923076923077</v>
      </c>
      <c r="K14">
        <f>SUM(K9:K13)</f>
        <v>28</v>
      </c>
    </row>
    <row r="17" spans="7:9" x14ac:dyDescent="0.25">
      <c r="G17" t="s">
        <v>98</v>
      </c>
    </row>
    <row r="19" spans="7:9" x14ac:dyDescent="0.25">
      <c r="I19" t="s">
        <v>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L79"/>
  <sheetViews>
    <sheetView topLeftCell="A16" workbookViewId="0">
      <selection activeCell="H33" sqref="H33"/>
    </sheetView>
  </sheetViews>
  <sheetFormatPr defaultRowHeight="15" x14ac:dyDescent="0.25"/>
  <cols>
    <col min="1" max="1" width="18.28515625" bestFit="1" customWidth="1"/>
    <col min="2" max="2" width="11" customWidth="1"/>
    <col min="3" max="3" width="17.7109375" customWidth="1"/>
    <col min="4" max="4" width="19.140625" bestFit="1" customWidth="1"/>
    <col min="5" max="5" width="15.7109375" customWidth="1"/>
  </cols>
  <sheetData>
    <row r="5" spans="1:5" x14ac:dyDescent="0.25">
      <c r="D5" s="10" t="s">
        <v>74</v>
      </c>
    </row>
    <row r="7" spans="1:5" x14ac:dyDescent="0.25">
      <c r="A7" s="2" t="s">
        <v>0</v>
      </c>
      <c r="B7" s="2" t="s">
        <v>1</v>
      </c>
      <c r="C7" s="2" t="s">
        <v>22</v>
      </c>
      <c r="D7" s="2" t="s">
        <v>2</v>
      </c>
      <c r="E7" s="2" t="s">
        <v>19</v>
      </c>
    </row>
    <row r="8" spans="1:5" x14ac:dyDescent="0.25">
      <c r="A8" s="14" t="s">
        <v>3</v>
      </c>
      <c r="B8" s="14" t="s">
        <v>10</v>
      </c>
      <c r="C8" s="14" t="s">
        <v>4</v>
      </c>
      <c r="D8" s="16"/>
      <c r="E8" s="14"/>
    </row>
    <row r="9" spans="1:5" x14ac:dyDescent="0.25">
      <c r="A9" s="14" t="s">
        <v>12</v>
      </c>
      <c r="B9" s="14" t="s">
        <v>10</v>
      </c>
      <c r="C9" s="14">
        <v>10</v>
      </c>
      <c r="D9" s="15">
        <v>44608.100844907407</v>
      </c>
      <c r="E9" s="14"/>
    </row>
    <row r="10" spans="1:5" x14ac:dyDescent="0.25">
      <c r="A10" s="14" t="s">
        <v>11</v>
      </c>
      <c r="B10" s="14" t="s">
        <v>10</v>
      </c>
      <c r="C10" s="14">
        <v>13</v>
      </c>
      <c r="D10" s="16"/>
      <c r="E10" s="14"/>
    </row>
    <row r="11" spans="1:5" x14ac:dyDescent="0.25">
      <c r="A11" s="14" t="s">
        <v>38</v>
      </c>
      <c r="B11" s="14" t="s">
        <v>10</v>
      </c>
      <c r="C11" s="14">
        <v>10</v>
      </c>
      <c r="D11" s="15">
        <v>44608.101041666669</v>
      </c>
      <c r="E11" s="14"/>
    </row>
    <row r="12" spans="1:5" x14ac:dyDescent="0.25">
      <c r="A12" s="14" t="s">
        <v>7</v>
      </c>
      <c r="B12" s="14" t="s">
        <v>10</v>
      </c>
      <c r="C12" s="14">
        <v>11</v>
      </c>
      <c r="D12" s="15">
        <v>44608.101157407407</v>
      </c>
      <c r="E12" s="14"/>
    </row>
    <row r="13" spans="1:5" x14ac:dyDescent="0.25">
      <c r="A13" s="14" t="s">
        <v>9</v>
      </c>
      <c r="B13" s="14" t="s">
        <v>10</v>
      </c>
      <c r="C13" s="14">
        <v>3</v>
      </c>
      <c r="D13" s="15">
        <v>44601.206863425927</v>
      </c>
      <c r="E13" s="14"/>
    </row>
    <row r="14" spans="1:5" x14ac:dyDescent="0.25">
      <c r="A14" s="14" t="s">
        <v>6</v>
      </c>
      <c r="B14" s="14" t="s">
        <v>10</v>
      </c>
      <c r="C14" s="14">
        <v>3</v>
      </c>
      <c r="D14" s="16"/>
      <c r="E14" s="14"/>
    </row>
    <row r="15" spans="1:5" x14ac:dyDescent="0.25">
      <c r="A15" s="14" t="s">
        <v>13</v>
      </c>
      <c r="B15" s="14" t="s">
        <v>10</v>
      </c>
      <c r="C15" s="14">
        <v>3</v>
      </c>
      <c r="D15" s="16"/>
      <c r="E15" s="14"/>
    </row>
    <row r="16" spans="1:5" x14ac:dyDescent="0.25">
      <c r="A16" s="14" t="s">
        <v>14</v>
      </c>
      <c r="B16" s="14" t="s">
        <v>10</v>
      </c>
      <c r="C16" s="14">
        <v>3</v>
      </c>
      <c r="D16" s="16"/>
      <c r="E16" s="14"/>
    </row>
    <row r="17" spans="1:12" x14ac:dyDescent="0.25">
      <c r="A17" s="14" t="s">
        <v>5</v>
      </c>
      <c r="B17" s="14" t="s">
        <v>10</v>
      </c>
      <c r="C17" s="14">
        <v>6</v>
      </c>
      <c r="D17" s="15">
        <v>44608.101423611108</v>
      </c>
      <c r="E17" s="14"/>
    </row>
    <row r="18" spans="1:12" x14ac:dyDescent="0.25">
      <c r="A18" s="14" t="s">
        <v>15</v>
      </c>
      <c r="B18" s="14" t="s">
        <v>10</v>
      </c>
      <c r="C18" s="14">
        <v>2</v>
      </c>
      <c r="D18" s="16"/>
      <c r="E18" s="14"/>
    </row>
    <row r="19" spans="1:12" x14ac:dyDescent="0.25">
      <c r="A19" s="14" t="s">
        <v>8</v>
      </c>
      <c r="B19" s="14" t="s">
        <v>10</v>
      </c>
      <c r="C19" s="14">
        <v>1</v>
      </c>
      <c r="D19" s="15">
        <v>44601.206770833334</v>
      </c>
      <c r="E19" s="14"/>
      <c r="J19" t="s">
        <v>87</v>
      </c>
      <c r="K19" t="s">
        <v>88</v>
      </c>
      <c r="L19" t="s">
        <v>89</v>
      </c>
    </row>
    <row r="20" spans="1:12" x14ac:dyDescent="0.25">
      <c r="A20" s="14" t="s">
        <v>72</v>
      </c>
      <c r="B20" s="14" t="s">
        <v>10</v>
      </c>
      <c r="C20" s="14">
        <v>21</v>
      </c>
      <c r="D20" s="15">
        <v>44608.101631944446</v>
      </c>
      <c r="E20" s="14"/>
      <c r="I20" t="s">
        <v>86</v>
      </c>
      <c r="J20">
        <v>95</v>
      </c>
      <c r="K20" s="25">
        <v>26666</v>
      </c>
      <c r="L20">
        <v>774</v>
      </c>
    </row>
    <row r="21" spans="1:12" x14ac:dyDescent="0.25">
      <c r="A21" s="17" t="s">
        <v>67</v>
      </c>
      <c r="B21" s="17" t="s">
        <v>68</v>
      </c>
      <c r="C21" s="17">
        <v>11</v>
      </c>
      <c r="D21" s="18"/>
      <c r="E21" s="17"/>
    </row>
    <row r="22" spans="1:12" x14ac:dyDescent="0.25">
      <c r="A22" s="17" t="s">
        <v>69</v>
      </c>
      <c r="B22" s="17" t="s">
        <v>68</v>
      </c>
      <c r="C22" s="17">
        <v>7</v>
      </c>
      <c r="D22" s="18"/>
      <c r="E22" s="17"/>
    </row>
    <row r="23" spans="1:12" x14ac:dyDescent="0.25">
      <c r="A23" s="19" t="s">
        <v>44</v>
      </c>
      <c r="B23" s="19" t="s">
        <v>39</v>
      </c>
      <c r="C23" s="19">
        <v>215</v>
      </c>
      <c r="D23" s="24">
        <v>44608.101817129631</v>
      </c>
      <c r="E23" s="19"/>
    </row>
    <row r="24" spans="1:12" x14ac:dyDescent="0.25">
      <c r="A24" s="19" t="s">
        <v>43</v>
      </c>
      <c r="B24" s="19" t="s">
        <v>39</v>
      </c>
      <c r="C24" s="19">
        <v>99</v>
      </c>
      <c r="D24" s="24">
        <v>44608.101990740739</v>
      </c>
      <c r="E24" s="19"/>
    </row>
    <row r="25" spans="1:12" x14ac:dyDescent="0.25">
      <c r="A25" s="19" t="s">
        <v>40</v>
      </c>
      <c r="B25" s="19" t="s">
        <v>39</v>
      </c>
      <c r="C25" s="19">
        <v>32</v>
      </c>
      <c r="D25" s="24">
        <v>44624.597893518519</v>
      </c>
      <c r="E25" s="19"/>
    </row>
    <row r="26" spans="1:12" x14ac:dyDescent="0.25">
      <c r="A26" s="19" t="s">
        <v>41</v>
      </c>
      <c r="B26" s="19" t="s">
        <v>39</v>
      </c>
      <c r="C26" s="19">
        <v>20</v>
      </c>
      <c r="D26" s="24">
        <v>44608.102523148147</v>
      </c>
      <c r="E26" s="19"/>
    </row>
    <row r="27" spans="1:12" x14ac:dyDescent="0.25">
      <c r="A27" s="19" t="s">
        <v>42</v>
      </c>
      <c r="B27" s="19" t="s">
        <v>39</v>
      </c>
      <c r="C27" s="19">
        <v>12</v>
      </c>
      <c r="D27" s="24">
        <v>44624.592870370368</v>
      </c>
      <c r="E27" s="19"/>
    </row>
    <row r="28" spans="1:12" x14ac:dyDescent="0.25">
      <c r="A28" s="20" t="s">
        <v>31</v>
      </c>
      <c r="B28" s="20" t="s">
        <v>16</v>
      </c>
      <c r="C28" s="20">
        <v>42</v>
      </c>
      <c r="D28" s="23">
        <v>44608.104629629626</v>
      </c>
      <c r="E28" s="20"/>
    </row>
    <row r="29" spans="1:12" x14ac:dyDescent="0.25">
      <c r="A29" s="20" t="s">
        <v>23</v>
      </c>
      <c r="B29" s="20" t="s">
        <v>16</v>
      </c>
      <c r="C29" s="20">
        <v>30</v>
      </c>
      <c r="D29" s="23">
        <v>44608.104525462964</v>
      </c>
      <c r="E29" s="20"/>
    </row>
    <row r="30" spans="1:12" x14ac:dyDescent="0.25">
      <c r="A30" s="20" t="s">
        <v>21</v>
      </c>
      <c r="B30" s="20" t="s">
        <v>16</v>
      </c>
      <c r="C30" s="20">
        <v>31</v>
      </c>
      <c r="D30" s="23">
        <v>44608.10434027778</v>
      </c>
      <c r="E30" s="20"/>
    </row>
    <row r="31" spans="1:12" x14ac:dyDescent="0.25">
      <c r="A31" s="20" t="s">
        <v>37</v>
      </c>
      <c r="B31" s="20" t="s">
        <v>16</v>
      </c>
      <c r="C31" s="20">
        <v>35</v>
      </c>
      <c r="D31" s="23">
        <v>44608.104201388887</v>
      </c>
      <c r="E31" s="20"/>
    </row>
    <row r="32" spans="1:12" x14ac:dyDescent="0.25">
      <c r="A32" s="20" t="s">
        <v>20</v>
      </c>
      <c r="B32" s="20" t="s">
        <v>16</v>
      </c>
      <c r="C32" s="20">
        <v>25</v>
      </c>
      <c r="D32" s="23">
        <v>44603.003437500003</v>
      </c>
      <c r="E32" s="20"/>
    </row>
    <row r="33" spans="1:5" x14ac:dyDescent="0.25">
      <c r="A33" s="20" t="s">
        <v>24</v>
      </c>
      <c r="B33" s="20" t="s">
        <v>16</v>
      </c>
      <c r="C33" s="20">
        <v>17</v>
      </c>
      <c r="D33" s="23">
        <v>44624.597546296296</v>
      </c>
      <c r="E33" s="20"/>
    </row>
    <row r="34" spans="1:5" x14ac:dyDescent="0.25">
      <c r="A34" s="20" t="s">
        <v>25</v>
      </c>
      <c r="B34" s="20" t="s">
        <v>16</v>
      </c>
      <c r="C34" s="20">
        <v>11</v>
      </c>
      <c r="D34" s="23">
        <v>44608.103692129633</v>
      </c>
      <c r="E34" s="20"/>
    </row>
    <row r="35" spans="1:5" x14ac:dyDescent="0.25">
      <c r="A35" s="20" t="s">
        <v>26</v>
      </c>
      <c r="B35" s="20" t="s">
        <v>16</v>
      </c>
      <c r="C35" s="20">
        <v>18</v>
      </c>
      <c r="D35" s="23">
        <v>44603.003437500003</v>
      </c>
      <c r="E35" s="20"/>
    </row>
    <row r="36" spans="1:5" x14ac:dyDescent="0.25">
      <c r="A36" s="20" t="s">
        <v>30</v>
      </c>
      <c r="B36" s="20" t="s">
        <v>16</v>
      </c>
      <c r="C36" s="20">
        <v>17</v>
      </c>
      <c r="D36" s="23">
        <v>44603.003449074073</v>
      </c>
      <c r="E36" s="20"/>
    </row>
    <row r="37" spans="1:5" x14ac:dyDescent="0.25">
      <c r="A37" s="20" t="s">
        <v>17</v>
      </c>
      <c r="B37" s="20" t="s">
        <v>16</v>
      </c>
      <c r="C37" s="20">
        <v>9</v>
      </c>
      <c r="D37" s="23">
        <v>44603.003437500003</v>
      </c>
      <c r="E37" s="20"/>
    </row>
    <row r="38" spans="1:5" x14ac:dyDescent="0.25">
      <c r="A38" s="20" t="s">
        <v>18</v>
      </c>
      <c r="B38" s="20" t="s">
        <v>16</v>
      </c>
      <c r="C38" s="20">
        <v>5</v>
      </c>
      <c r="D38" s="23">
        <v>44608.10328703704</v>
      </c>
      <c r="E38" s="20"/>
    </row>
    <row r="39" spans="1:5" x14ac:dyDescent="0.25">
      <c r="A39" s="20" t="s">
        <v>27</v>
      </c>
      <c r="B39" s="20" t="s">
        <v>16</v>
      </c>
      <c r="C39" s="20">
        <v>6</v>
      </c>
      <c r="D39" s="23">
        <v>44603.003449074073</v>
      </c>
      <c r="E39" s="20"/>
    </row>
    <row r="40" spans="1:5" x14ac:dyDescent="0.25">
      <c r="A40" s="20" t="s">
        <v>36</v>
      </c>
      <c r="B40" s="20" t="s">
        <v>16</v>
      </c>
      <c r="C40" s="20">
        <v>6</v>
      </c>
      <c r="D40" s="23">
        <v>44603.003449074073</v>
      </c>
      <c r="E40" s="20"/>
    </row>
    <row r="41" spans="1:5" x14ac:dyDescent="0.25">
      <c r="A41" s="20" t="s">
        <v>35</v>
      </c>
      <c r="B41" s="20" t="s">
        <v>16</v>
      </c>
      <c r="C41" s="20">
        <v>4</v>
      </c>
      <c r="D41" s="23">
        <v>44603.003449074073</v>
      </c>
      <c r="E41" s="20"/>
    </row>
    <row r="42" spans="1:5" x14ac:dyDescent="0.25">
      <c r="A42" s="20" t="s">
        <v>28</v>
      </c>
      <c r="B42" s="20" t="s">
        <v>16</v>
      </c>
      <c r="C42" s="20">
        <v>3</v>
      </c>
      <c r="D42" s="23">
        <v>44603.003449074073</v>
      </c>
      <c r="E42" s="20"/>
    </row>
    <row r="43" spans="1:5" x14ac:dyDescent="0.25">
      <c r="A43" s="20" t="s">
        <v>29</v>
      </c>
      <c r="B43" s="20" t="s">
        <v>16</v>
      </c>
      <c r="C43" s="20">
        <v>3</v>
      </c>
      <c r="D43" s="23">
        <v>44603.003449074073</v>
      </c>
      <c r="E43" s="20"/>
    </row>
    <row r="44" spans="1:5" x14ac:dyDescent="0.25">
      <c r="A44" s="20" t="s">
        <v>32</v>
      </c>
      <c r="B44" s="20" t="s">
        <v>16</v>
      </c>
      <c r="C44" s="20">
        <v>3</v>
      </c>
      <c r="D44" s="23">
        <v>44603.003449074073</v>
      </c>
      <c r="E44" s="20"/>
    </row>
    <row r="45" spans="1:5" x14ac:dyDescent="0.25">
      <c r="A45" s="20" t="s">
        <v>34</v>
      </c>
      <c r="B45" s="20" t="s">
        <v>16</v>
      </c>
      <c r="C45" s="20">
        <v>3</v>
      </c>
      <c r="D45" s="23">
        <v>44603.003449074073</v>
      </c>
      <c r="E45" s="20"/>
    </row>
    <row r="46" spans="1:5" x14ac:dyDescent="0.25">
      <c r="A46" s="20" t="s">
        <v>33</v>
      </c>
      <c r="B46" s="20" t="s">
        <v>16</v>
      </c>
      <c r="C46" s="20">
        <v>1</v>
      </c>
      <c r="D46" s="23">
        <v>44603.003449074073</v>
      </c>
      <c r="E46" s="20"/>
    </row>
    <row r="47" spans="1:5" x14ac:dyDescent="0.25">
      <c r="A47" s="21" t="s">
        <v>63</v>
      </c>
      <c r="B47" s="21" t="s">
        <v>64</v>
      </c>
      <c r="C47" s="21">
        <v>8</v>
      </c>
      <c r="D47" s="22"/>
      <c r="E47" s="21"/>
    </row>
    <row r="48" spans="1:5" x14ac:dyDescent="0.25">
      <c r="A48" s="21" t="s">
        <v>65</v>
      </c>
      <c r="B48" s="21" t="s">
        <v>64</v>
      </c>
      <c r="C48" s="21">
        <v>2</v>
      </c>
      <c r="D48" s="22"/>
      <c r="E48" s="21"/>
    </row>
    <row r="49" spans="1:5" x14ac:dyDescent="0.25">
      <c r="A49" s="21" t="s">
        <v>70</v>
      </c>
      <c r="B49" s="21" t="s">
        <v>64</v>
      </c>
      <c r="C49" s="21">
        <v>2</v>
      </c>
      <c r="D49" s="22"/>
      <c r="E49" s="21"/>
    </row>
    <row r="50" spans="1:5" x14ac:dyDescent="0.25">
      <c r="A50" s="21" t="s">
        <v>66</v>
      </c>
      <c r="B50" s="21" t="s">
        <v>64</v>
      </c>
      <c r="C50" s="21">
        <v>2</v>
      </c>
      <c r="D50" s="22"/>
      <c r="E50" s="21"/>
    </row>
    <row r="51" spans="1:5" x14ac:dyDescent="0.25">
      <c r="D51" s="1"/>
    </row>
    <row r="52" spans="1:5" x14ac:dyDescent="0.25">
      <c r="D52" s="1"/>
    </row>
    <row r="53" spans="1:5" x14ac:dyDescent="0.25">
      <c r="D53" s="1"/>
    </row>
    <row r="54" spans="1:5" x14ac:dyDescent="0.25">
      <c r="D54" s="1"/>
    </row>
    <row r="55" spans="1:5" x14ac:dyDescent="0.25">
      <c r="D55" s="1"/>
    </row>
    <row r="56" spans="1:5" x14ac:dyDescent="0.25">
      <c r="D56" s="1"/>
    </row>
    <row r="57" spans="1:5" x14ac:dyDescent="0.25">
      <c r="D57" s="1"/>
    </row>
    <row r="58" spans="1:5" x14ac:dyDescent="0.25">
      <c r="D58" s="1"/>
    </row>
    <row r="59" spans="1:5" x14ac:dyDescent="0.25">
      <c r="D59" s="1"/>
    </row>
    <row r="60" spans="1:5" x14ac:dyDescent="0.25">
      <c r="D60" s="1"/>
    </row>
    <row r="61" spans="1:5" x14ac:dyDescent="0.25">
      <c r="D61" s="1"/>
    </row>
    <row r="62" spans="1:5" x14ac:dyDescent="0.25">
      <c r="D62" s="1"/>
    </row>
    <row r="63" spans="1:5" x14ac:dyDescent="0.25">
      <c r="D63" s="1"/>
    </row>
    <row r="64" spans="1:5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hyperlinks>
    <hyperlink ref="D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N20"/>
  <sheetViews>
    <sheetView topLeftCell="A12" workbookViewId="0">
      <selection activeCell="E22" sqref="E22"/>
    </sheetView>
  </sheetViews>
  <sheetFormatPr defaultRowHeight="15" x14ac:dyDescent="0.25"/>
  <cols>
    <col min="4" max="4" width="18.28515625" bestFit="1" customWidth="1"/>
    <col min="5" max="5" width="16.5703125" bestFit="1" customWidth="1"/>
    <col min="6" max="6" width="12" customWidth="1"/>
    <col min="7" max="7" width="10.140625" bestFit="1" customWidth="1"/>
    <col min="8" max="8" width="12" customWidth="1"/>
    <col min="9" max="9" width="12.5703125" bestFit="1" customWidth="1"/>
    <col min="10" max="10" width="12" customWidth="1"/>
    <col min="11" max="11" width="9.5703125" customWidth="1"/>
    <col min="12" max="12" width="12" customWidth="1"/>
    <col min="13" max="13" width="10.5703125" bestFit="1" customWidth="1"/>
    <col min="14" max="14" width="12" customWidth="1"/>
  </cols>
  <sheetData>
    <row r="12" spans="4:14" x14ac:dyDescent="0.25">
      <c r="D12" s="2" t="s">
        <v>52</v>
      </c>
      <c r="E12" s="7" t="s">
        <v>53</v>
      </c>
      <c r="F12" s="7" t="s">
        <v>54</v>
      </c>
      <c r="G12" s="8" t="s">
        <v>55</v>
      </c>
      <c r="H12" s="8" t="s">
        <v>56</v>
      </c>
      <c r="I12" s="13" t="s">
        <v>57</v>
      </c>
      <c r="J12" s="13" t="s">
        <v>58</v>
      </c>
      <c r="K12" s="9" t="s">
        <v>59</v>
      </c>
      <c r="L12" s="9" t="s">
        <v>60</v>
      </c>
      <c r="M12" s="6" t="s">
        <v>61</v>
      </c>
      <c r="N12" s="6" t="s">
        <v>62</v>
      </c>
    </row>
    <row r="13" spans="4:14" x14ac:dyDescent="0.25">
      <c r="D13" t="s">
        <v>41</v>
      </c>
      <c r="E13" t="s">
        <v>17</v>
      </c>
      <c r="F13">
        <v>4</v>
      </c>
    </row>
    <row r="14" spans="4:14" x14ac:dyDescent="0.25">
      <c r="D14" t="s">
        <v>42</v>
      </c>
      <c r="E14" t="s">
        <v>18</v>
      </c>
      <c r="F14">
        <v>4</v>
      </c>
    </row>
    <row r="15" spans="4:14" x14ac:dyDescent="0.25">
      <c r="D15" t="s">
        <v>40</v>
      </c>
      <c r="E15" t="s">
        <v>18</v>
      </c>
      <c r="F15">
        <v>5</v>
      </c>
      <c r="G15" t="s">
        <v>24</v>
      </c>
      <c r="H15">
        <v>1</v>
      </c>
    </row>
    <row r="16" spans="4:14" x14ac:dyDescent="0.25">
      <c r="D16" t="s">
        <v>43</v>
      </c>
      <c r="E16" t="s">
        <v>20</v>
      </c>
      <c r="F16">
        <v>5</v>
      </c>
      <c r="G16" t="s">
        <v>25</v>
      </c>
      <c r="H16">
        <v>2</v>
      </c>
    </row>
    <row r="17" spans="4:10" x14ac:dyDescent="0.25">
      <c r="D17" t="s">
        <v>44</v>
      </c>
      <c r="E17" t="s">
        <v>21</v>
      </c>
      <c r="F17">
        <v>6</v>
      </c>
      <c r="G17" t="s">
        <v>24</v>
      </c>
      <c r="H17">
        <v>2</v>
      </c>
      <c r="I17" t="s">
        <v>25</v>
      </c>
      <c r="J17">
        <v>2</v>
      </c>
    </row>
    <row r="18" spans="4:10" x14ac:dyDescent="0.25">
      <c r="D18" t="s">
        <v>67</v>
      </c>
      <c r="E18" t="s">
        <v>65</v>
      </c>
      <c r="F18">
        <v>4</v>
      </c>
      <c r="G18" t="s">
        <v>66</v>
      </c>
      <c r="H18">
        <v>1</v>
      </c>
    </row>
    <row r="19" spans="4:10" x14ac:dyDescent="0.25">
      <c r="D19" t="s">
        <v>69</v>
      </c>
      <c r="E19" t="s">
        <v>71</v>
      </c>
      <c r="F19">
        <v>4</v>
      </c>
      <c r="G19" t="s">
        <v>67</v>
      </c>
      <c r="H19">
        <v>1</v>
      </c>
    </row>
    <row r="20" spans="4:10" x14ac:dyDescent="0.25">
      <c r="D20" t="s">
        <v>72</v>
      </c>
      <c r="E20" t="s">
        <v>5</v>
      </c>
      <c r="F20">
        <v>5</v>
      </c>
      <c r="G20" t="s">
        <v>8</v>
      </c>
      <c r="H20">
        <v>1</v>
      </c>
      <c r="I20" t="s">
        <v>63</v>
      </c>
      <c r="J20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N201"/>
  <sheetViews>
    <sheetView zoomScale="115" zoomScaleNormal="115" workbookViewId="0">
      <selection activeCell="E27" sqref="E27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76</v>
      </c>
    </row>
    <row r="2" spans="1:14" x14ac:dyDescent="0.25">
      <c r="A2" t="s">
        <v>41</v>
      </c>
      <c r="B2" s="4">
        <v>-10.5</v>
      </c>
    </row>
    <row r="3" spans="1:14" x14ac:dyDescent="0.25">
      <c r="A3" t="s">
        <v>42</v>
      </c>
      <c r="B3" s="4">
        <v>-12.1</v>
      </c>
    </row>
    <row r="4" spans="1:14" x14ac:dyDescent="0.25">
      <c r="A4" t="s">
        <v>40</v>
      </c>
      <c r="B4" s="4">
        <v>-17</v>
      </c>
    </row>
    <row r="5" spans="1:14" x14ac:dyDescent="0.25">
      <c r="A5" t="s">
        <v>43</v>
      </c>
      <c r="B5" s="4">
        <v>-61</v>
      </c>
    </row>
    <row r="6" spans="1:14" x14ac:dyDescent="0.25">
      <c r="A6" t="s">
        <v>44</v>
      </c>
      <c r="B6" s="4">
        <v>-50</v>
      </c>
    </row>
    <row r="7" spans="1:14" x14ac:dyDescent="0.25">
      <c r="A7" t="s">
        <v>67</v>
      </c>
      <c r="B7" s="4">
        <v>-0.65000000000000036</v>
      </c>
    </row>
    <row r="8" spans="1:14" x14ac:dyDescent="0.25">
      <c r="A8" t="s">
        <v>69</v>
      </c>
      <c r="B8" s="4">
        <v>-5.05</v>
      </c>
      <c r="F8" s="27" t="s">
        <v>84</v>
      </c>
      <c r="G8" s="28"/>
    </row>
    <row r="9" spans="1:14" x14ac:dyDescent="0.25">
      <c r="A9" t="s">
        <v>72</v>
      </c>
      <c r="B9" s="4">
        <v>-19</v>
      </c>
      <c r="F9" s="28"/>
      <c r="G9" s="28"/>
    </row>
    <row r="10" spans="1:14" x14ac:dyDescent="0.25">
      <c r="B10" s="4"/>
      <c r="F10" s="28"/>
      <c r="G10" s="28"/>
    </row>
    <row r="11" spans="1:14" x14ac:dyDescent="0.25">
      <c r="B11" s="4"/>
      <c r="J11" s="10" t="s">
        <v>73</v>
      </c>
      <c r="K11" s="10"/>
    </row>
    <row r="12" spans="1:14" x14ac:dyDescent="0.25">
      <c r="B12" s="4"/>
    </row>
    <row r="13" spans="1:14" x14ac:dyDescent="0.25">
      <c r="B13" s="4"/>
      <c r="J13" t="s">
        <v>77</v>
      </c>
    </row>
    <row r="14" spans="1:14" x14ac:dyDescent="0.25">
      <c r="B14" s="4"/>
      <c r="E14" s="2" t="s">
        <v>50</v>
      </c>
      <c r="F14" s="2" t="s">
        <v>46</v>
      </c>
      <c r="G14" s="2" t="s">
        <v>45</v>
      </c>
      <c r="H14" s="2" t="s">
        <v>47</v>
      </c>
      <c r="I14" s="2" t="s">
        <v>48</v>
      </c>
      <c r="J14" s="2" t="s">
        <v>49</v>
      </c>
      <c r="K14" s="2" t="s">
        <v>79</v>
      </c>
      <c r="L14" s="2" t="s">
        <v>78</v>
      </c>
      <c r="M14" s="2" t="s">
        <v>75</v>
      </c>
      <c r="N14" s="2" t="s">
        <v>51</v>
      </c>
    </row>
    <row r="15" spans="1:14" x14ac:dyDescent="0.25">
      <c r="B15" s="4"/>
      <c r="E15" s="3">
        <v>0.15</v>
      </c>
      <c r="G15" t="str">
        <f>IFERROR(VLOOKUP($F$15,'ingredient table'!$D$13:$N$200,2,FALSE),"")</f>
        <v/>
      </c>
      <c r="H15" t="str">
        <f>IFERROR(VLOOKUP($F$15,'ingredient table'!$D$13:$N$200,3,FALSE),"")</f>
        <v/>
      </c>
      <c r="I15" t="str">
        <f>IFERROR(VLOOKUP($G15,vals!$A$8:$E$200,3,FALSE),"")</f>
        <v/>
      </c>
      <c r="J15" t="str">
        <f>IFERROR(VLOOKUP($F15,vals!$A$8:$E$200,3,FALSE),"")</f>
        <v/>
      </c>
      <c r="K15" t="e">
        <f>Table134[[#This Row],[market output price]]*(1-Table134[[#This Row],[Tax Rate]])</f>
        <v>#VALUE!</v>
      </c>
      <c r="L15" s="5">
        <f>SUMPRODUCT(Table134[input quantity],Table134[market input price])</f>
        <v>0</v>
      </c>
      <c r="M15" s="4" t="str">
        <f>IFERROR(Table134[[#This Row],[after-tax market output price]]-Table134[[#This Row],[cost of production]],"")</f>
        <v/>
      </c>
      <c r="N15" s="4">
        <f>SUMPRODUCT(H15:H19,I15:I19)/(1-Table134[[#This Row],[Tax Rate]])</f>
        <v>0</v>
      </c>
    </row>
    <row r="16" spans="1:14" x14ac:dyDescent="0.25">
      <c r="B16" s="4"/>
      <c r="G16" t="str">
        <f>IFERROR(VLOOKUP($F$15,'ingredient table'!$D$13:$N$200,4,FALSE),"")</f>
        <v/>
      </c>
      <c r="H16" t="str">
        <f>IFERROR(VLOOKUP($F$15,'ingredient table'!$D$13:$N$200,5,FALSE),"")</f>
        <v/>
      </c>
      <c r="I16" t="str">
        <f>IFERROR(VLOOKUP($G16,vals!$A$8:$E$200,3,FALSE),"")</f>
        <v/>
      </c>
      <c r="J16" t="str">
        <f>IFERROR(VLOOKUP($F16,vals!$A$8:$E$200,3,FALSE),"")</f>
        <v/>
      </c>
      <c r="N16" s="5"/>
    </row>
    <row r="17" spans="2:14" x14ac:dyDescent="0.25">
      <c r="B17" s="4"/>
      <c r="G17" t="str">
        <f>IFERROR(VLOOKUP($F$15,'ingredient table'!$D$13:$N$200,6,FALSE),"")</f>
        <v/>
      </c>
      <c r="H17" t="str">
        <f>IFERROR(VLOOKUP($F$15,'ingredient table'!$D$13:$N$200,7,FALSE),"")</f>
        <v/>
      </c>
      <c r="I17" t="str">
        <f>IFERROR(VLOOKUP($G17,vals!$A$8:$E$200,3,FALSE),"")</f>
        <v/>
      </c>
      <c r="J17" t="str">
        <f>IFERROR(VLOOKUP($F17,vals!$A$8:$E$200,3,FALSE),"")</f>
        <v/>
      </c>
      <c r="N17" s="5"/>
    </row>
    <row r="18" spans="2:14" x14ac:dyDescent="0.25">
      <c r="B18" s="4"/>
      <c r="G18" t="str">
        <f>IFERROR(VLOOKUP($F$15,'ingredient table'!$D$13:$N$200,8,FALSE),"")</f>
        <v/>
      </c>
      <c r="H18" t="str">
        <f>IFERROR(VLOOKUP($F$15,'ingredient table'!$D$13:$N$200,9,FALSE),"")</f>
        <v/>
      </c>
      <c r="I18" t="str">
        <f>IFERROR(VLOOKUP($G18,vals!$A$8:$E$200,3,FALSE),"")</f>
        <v/>
      </c>
      <c r="J18" t="str">
        <f>IFERROR(VLOOKUP($F18,vals!$A$8:$E$200,3,FALSE),"")</f>
        <v/>
      </c>
      <c r="N18" s="5"/>
    </row>
    <row r="19" spans="2:14" x14ac:dyDescent="0.25">
      <c r="B19" s="4"/>
      <c r="G19" t="str">
        <f>IFERROR(VLOOKUP($F$15,'ingredient table'!$D$13:$N$200,10,FALSE),"")</f>
        <v/>
      </c>
      <c r="H19" t="str">
        <f>IFERROR(VLOOKUP($F$15,'ingredient table'!$D$13:$N$200,11,FALSE),"")</f>
        <v/>
      </c>
      <c r="I19" t="str">
        <f>IFERROR(VLOOKUP($G19,vals!$A$8:$E$200,3,FALSE),"")</f>
        <v/>
      </c>
      <c r="J19" t="str">
        <f>IFERROR(VLOOKUP($F19,vals!$A$8:$E$200,3,FALSE),"")</f>
        <v/>
      </c>
      <c r="N19" s="5"/>
    </row>
    <row r="20" spans="2:14" x14ac:dyDescent="0.25">
      <c r="B20" s="4"/>
      <c r="I20" t="str">
        <f>IFERROR(VLOOKUP($G20,vals!$A$8:$E$200,3,FALSE),"")</f>
        <v/>
      </c>
      <c r="J20" t="str">
        <f>IFERROR(VLOOKUP($F20,vals!$A$8:$E$200,3,FALSE),"")</f>
        <v/>
      </c>
    </row>
    <row r="21" spans="2:14" x14ac:dyDescent="0.25">
      <c r="B21" s="4"/>
      <c r="I21" t="str">
        <f>IFERROR(VLOOKUP($G21,vals!$A$8:$E$200,3,FALSE),"")</f>
        <v/>
      </c>
      <c r="J21" t="str">
        <f>IFERROR(VLOOKUP($F21,vals!$A$8:$E$200,3,FALSE),"")</f>
        <v/>
      </c>
      <c r="L21" s="5"/>
    </row>
    <row r="22" spans="2:14" x14ac:dyDescent="0.25">
      <c r="B22" s="4"/>
      <c r="I22" t="str">
        <f>IFERROR(VLOOKUP($G22,vals!$A$8:$E$200,3,FALSE),"")</f>
        <v/>
      </c>
      <c r="J22" t="str">
        <f>IFERROR(VLOOKUP($F22,vals!$A$8:$E$200,3,FALSE),"")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7CA7C434-67C0-4513-AC97-3015B3287884}">
          <x14:formula1>
            <xm:f>vals!$A$7:$A$200</xm:f>
          </x14:formula1>
          <xm:sqref>G20:G22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50E0-CED8-4F28-BE15-8C3C1EB94CEE}">
  <sheetPr codeName="Sheet5">
    <pageSetUpPr autoPageBreaks="0"/>
  </sheetPr>
  <dimension ref="A1:N201"/>
  <sheetViews>
    <sheetView tabSelected="1" zoomScale="85" zoomScaleNormal="85" workbookViewId="0">
      <selection activeCell="F15" sqref="F15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76</v>
      </c>
    </row>
    <row r="2" spans="1:14" x14ac:dyDescent="0.25">
      <c r="A2" t="s">
        <v>41</v>
      </c>
      <c r="B2" s="4">
        <v>-13.599999999999998</v>
      </c>
    </row>
    <row r="3" spans="1:14" x14ac:dyDescent="0.25">
      <c r="A3" t="s">
        <v>42</v>
      </c>
      <c r="B3" s="4">
        <v>-6.8000000000000007</v>
      </c>
    </row>
    <row r="4" spans="1:14" x14ac:dyDescent="0.25">
      <c r="A4" t="s">
        <v>40</v>
      </c>
      <c r="B4" s="4">
        <v>-8.5000000000000036</v>
      </c>
    </row>
    <row r="5" spans="1:14" x14ac:dyDescent="0.25">
      <c r="A5" t="s">
        <v>43</v>
      </c>
      <c r="B5" s="4">
        <v>-40.800000000000011</v>
      </c>
    </row>
    <row r="6" spans="1:14" x14ac:dyDescent="0.25">
      <c r="A6" t="s">
        <v>44</v>
      </c>
      <c r="B6" s="4">
        <v>-22.949999999999989</v>
      </c>
    </row>
    <row r="7" spans="1:14" x14ac:dyDescent="0.25">
      <c r="A7" t="s">
        <v>67</v>
      </c>
      <c r="B7" s="4">
        <v>0.84999999999999964</v>
      </c>
    </row>
    <row r="8" spans="1:14" x14ac:dyDescent="0.25">
      <c r="A8" t="s">
        <v>69</v>
      </c>
      <c r="B8" s="4">
        <v>-3.3999999999999995</v>
      </c>
      <c r="F8" s="27" t="s">
        <v>85</v>
      </c>
      <c r="G8" s="28"/>
    </row>
    <row r="9" spans="1:14" x14ac:dyDescent="0.25">
      <c r="A9" t="s">
        <v>72</v>
      </c>
      <c r="B9" s="4">
        <v>-15.3</v>
      </c>
      <c r="F9" s="28"/>
      <c r="G9" s="28"/>
    </row>
    <row r="10" spans="1:14" x14ac:dyDescent="0.25">
      <c r="B10" s="4"/>
      <c r="F10" s="28"/>
      <c r="G10" s="28"/>
    </row>
    <row r="11" spans="1:14" x14ac:dyDescent="0.25">
      <c r="B11" s="4"/>
      <c r="J11" s="10" t="s">
        <v>73</v>
      </c>
      <c r="K11" s="10"/>
    </row>
    <row r="12" spans="1:14" x14ac:dyDescent="0.25">
      <c r="B12" s="4"/>
    </row>
    <row r="13" spans="1:14" x14ac:dyDescent="0.25">
      <c r="B13" s="4"/>
      <c r="J13" t="s">
        <v>77</v>
      </c>
    </row>
    <row r="14" spans="1:14" x14ac:dyDescent="0.25">
      <c r="B14" s="4"/>
      <c r="E14" s="2" t="s">
        <v>50</v>
      </c>
      <c r="F14" s="2" t="s">
        <v>46</v>
      </c>
      <c r="G14" s="2" t="s">
        <v>45</v>
      </c>
      <c r="H14" s="2" t="s">
        <v>47</v>
      </c>
      <c r="I14" s="2" t="s">
        <v>48</v>
      </c>
      <c r="J14" s="2" t="s">
        <v>49</v>
      </c>
      <c r="K14" s="2" t="s">
        <v>79</v>
      </c>
      <c r="L14" s="2" t="s">
        <v>78</v>
      </c>
      <c r="M14" s="2" t="s">
        <v>75</v>
      </c>
      <c r="N14" s="2" t="s">
        <v>51</v>
      </c>
    </row>
    <row r="15" spans="1:14" x14ac:dyDescent="0.25">
      <c r="B15" s="4"/>
      <c r="E15" s="3">
        <v>0.15</v>
      </c>
      <c r="G15" t="str">
        <f>IFERROR(VLOOKUP($F$15,'ingredient table'!$D$13:$N$200,2,FALSE),"")</f>
        <v/>
      </c>
      <c r="H15" t="str">
        <f>IFERROR(VLOOKUP($F$15,'ingredient table'!$D$13:$N$200,3,FALSE),"")</f>
        <v/>
      </c>
      <c r="I15" t="str">
        <f>IFERROR(VLOOKUP($G15,vals!$A$8:$E$200,3,FALSE)*(1-$E$15),"")</f>
        <v/>
      </c>
      <c r="J15" t="str">
        <f>IFERROR(VLOOKUP($F15,vals!$A$8:$E$200,3,FALSE),"")</f>
        <v/>
      </c>
      <c r="K15" t="e">
        <f>Table1345[[#This Row],[market output price]]*(1-Table1345[[#This Row],[Tax Rate]])</f>
        <v>#VALUE!</v>
      </c>
      <c r="L15" s="5">
        <f>SUMPRODUCT(Table1345[input quantity],Table1345[market input price])</f>
        <v>0</v>
      </c>
      <c r="M15" s="4" t="str">
        <f>IFERROR(Table1345[[#This Row],[after-tax market output price]]-Table1345[[#This Row],[cost of production]],"")</f>
        <v/>
      </c>
      <c r="N15" s="4">
        <f>SUMPRODUCT(H15:H19,I15:I19)/(1-Table1345[[#This Row],[Tax Rate]])</f>
        <v>0</v>
      </c>
    </row>
    <row r="16" spans="1:14" x14ac:dyDescent="0.25">
      <c r="B16" s="4"/>
      <c r="G16" t="str">
        <f>IFERROR(VLOOKUP($F$15,'ingredient table'!$D$13:$N$200,4,FALSE),"")</f>
        <v/>
      </c>
      <c r="H16" t="str">
        <f>IFERROR(VLOOKUP($F$15,'ingredient table'!$D$13:$N$200,5,FALSE),"")</f>
        <v/>
      </c>
      <c r="I16" t="str">
        <f>IFERROR(VLOOKUP($G16,vals!$A$8:$E$200,3,FALSE)*(1-$E$15),"")</f>
        <v/>
      </c>
      <c r="J16" t="str">
        <f>IFERROR(VLOOKUP($F16,vals!$A$8:$E$200,3,FALSE),"")</f>
        <v/>
      </c>
      <c r="N16" s="5"/>
    </row>
    <row r="17" spans="2:14" x14ac:dyDescent="0.25">
      <c r="B17" s="4"/>
      <c r="G17" t="str">
        <f>IFERROR(VLOOKUP($F$15,'ingredient table'!$D$13:$N$200,6,FALSE),"")</f>
        <v/>
      </c>
      <c r="H17" t="str">
        <f>IFERROR(VLOOKUP($F$15,'ingredient table'!$D$13:$N$200,7,FALSE),"")</f>
        <v/>
      </c>
      <c r="I17" t="str">
        <f>IFERROR(VLOOKUP($G17,vals!$A$8:$E$200,3,FALSE)*(1-$E$15),"")</f>
        <v/>
      </c>
      <c r="J17" t="str">
        <f>IFERROR(VLOOKUP($F17,vals!$A$8:$E$200,3,FALSE),"")</f>
        <v/>
      </c>
      <c r="N17" s="5"/>
    </row>
    <row r="18" spans="2:14" x14ac:dyDescent="0.25">
      <c r="B18" s="4"/>
      <c r="G18" t="str">
        <f>IFERROR(VLOOKUP($F$15,'ingredient table'!$D$13:$N$200,8,FALSE),"")</f>
        <v/>
      </c>
      <c r="H18" t="str">
        <f>IFERROR(VLOOKUP($F$15,'ingredient table'!$D$13:$N$200,9,FALSE),"")</f>
        <v/>
      </c>
      <c r="I18" t="str">
        <f>IFERROR(VLOOKUP($G18,vals!$A$8:$E$200,3,FALSE)*(1-$E$15),"")</f>
        <v/>
      </c>
      <c r="J18" t="str">
        <f>IFERROR(VLOOKUP($F18,vals!$A$8:$E$200,3,FALSE),"")</f>
        <v/>
      </c>
      <c r="N18" s="5"/>
    </row>
    <row r="19" spans="2:14" x14ac:dyDescent="0.25">
      <c r="B19" s="4"/>
      <c r="G19" t="str">
        <f>IFERROR(VLOOKUP($F$15,'ingredient table'!$D$13:$N$200,10,FALSE),"")</f>
        <v/>
      </c>
      <c r="H19" t="str">
        <f>IFERROR(VLOOKUP($F$15,'ingredient table'!$D$13:$N$200,11,FALSE),"")</f>
        <v/>
      </c>
      <c r="I19" t="str">
        <f>IFERROR(VLOOKUP($G19,vals!$A$8:$E$200,3,FALSE)*(1-$E$15),"")</f>
        <v/>
      </c>
      <c r="J19" t="str">
        <f>IFERROR(VLOOKUP($F19,vals!$A$8:$E$200,3,FALSE),"")</f>
        <v/>
      </c>
      <c r="N19" s="5"/>
    </row>
    <row r="20" spans="2:14" x14ac:dyDescent="0.25">
      <c r="B20" s="4"/>
      <c r="I20" t="str">
        <f>IFERROR(VLOOKUP($G20,vals!$A$8:$E$200,3,FALSE),"")</f>
        <v/>
      </c>
      <c r="J20" t="str">
        <f>IFERROR(VLOOKUP($F20,vals!$A$8:$E$200,3,FALSE),"")</f>
        <v/>
      </c>
    </row>
    <row r="21" spans="2:14" x14ac:dyDescent="0.25">
      <c r="B21" s="4"/>
      <c r="I21" t="str">
        <f>IFERROR(VLOOKUP($G21,vals!$A$8:$E$200,3,FALSE),"")</f>
        <v/>
      </c>
      <c r="J21" t="str">
        <f>IFERROR(VLOOKUP($F21,vals!$A$8:$E$200,3,FALSE),"")</f>
        <v/>
      </c>
      <c r="L21" s="5"/>
    </row>
    <row r="22" spans="2:14" x14ac:dyDescent="0.25">
      <c r="B22" s="4"/>
      <c r="I22" t="str">
        <f>IFERROR(VLOOKUP($G22,vals!$A$8:$E$200,3,FALSE),"")</f>
        <v/>
      </c>
      <c r="J22" t="str">
        <f>IFERROR(VLOOKUP($F22,vals!$A$8:$E$200,3,FALSE),"")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AA39E7AA-7891-4E2E-9716-44E589F776BC}"/>
  </hyperlinks>
  <pageMargins left="0.7" right="0.7" top="0.75" bottom="0.75" header="0.3" footer="0.3"/>
  <pageSetup orientation="portrait"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21E7A-0BDB-40B7-9BD1-51F29780146E}">
          <x14:formula1>
            <xm:f>vals!$A$7:$A$200</xm:f>
          </x14:formula1>
          <xm:sqref>G20:G22</xm:sqref>
        </x14:dataValidation>
        <x14:dataValidation type="list" allowBlank="1" showInputMessage="1" showErrorMessage="1" xr:uid="{BF1E2205-6240-4585-825C-7904CDA8B513}">
          <x14:formula1>
            <xm:f>'ingredient table'!$D$13:$D$200</xm:f>
          </x14:formula1>
          <xm:sqref>F15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animals</vt:lpstr>
      <vt:lpstr>Notes</vt:lpstr>
      <vt:lpstr>crafting</vt:lpstr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2022-03-04T21:41:37Z</dcterms:modified>
</cp:coreProperties>
</file>