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B3FE861D-2E1A-4AB3-AB18-0A41DC18B46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7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1" l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15" i="7"/>
  <c r="K15" i="7" s="1"/>
  <c r="J22" i="7"/>
  <c r="I22" i="7"/>
  <c r="J21" i="7"/>
  <c r="I21" i="7"/>
  <c r="J20" i="7"/>
  <c r="I20" i="7"/>
  <c r="J19" i="7"/>
  <c r="H19" i="7"/>
  <c r="G19" i="7"/>
  <c r="I19" i="7" s="1"/>
  <c r="J18" i="7"/>
  <c r="H18" i="7"/>
  <c r="G18" i="7"/>
  <c r="I18" i="7" s="1"/>
  <c r="J17" i="7"/>
  <c r="H17" i="7"/>
  <c r="G17" i="7"/>
  <c r="I17" i="7" s="1"/>
  <c r="J16" i="7"/>
  <c r="H16" i="7"/>
  <c r="G16" i="7"/>
  <c r="I16" i="7" s="1"/>
  <c r="H15" i="7"/>
  <c r="G15" i="7"/>
  <c r="I15" i="7" s="1"/>
  <c r="J15" i="5"/>
  <c r="K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G15" i="5"/>
  <c r="I15" i="5" s="1"/>
  <c r="J22" i="5"/>
  <c r="I22" i="5"/>
  <c r="J21" i="5"/>
  <c r="I21" i="5"/>
  <c r="J20" i="5"/>
  <c r="I20" i="5"/>
  <c r="J19" i="5"/>
  <c r="J18" i="5"/>
  <c r="J17" i="5"/>
  <c r="J16" i="5"/>
  <c r="N15" i="7" l="1"/>
  <c r="L15" i="7"/>
  <c r="M15" i="7" s="1"/>
  <c r="N15" i="5"/>
  <c r="L15" i="5"/>
  <c r="M15" i="5" s="1"/>
</calcChain>
</file>

<file path=xl/sharedStrings.xml><?xml version="1.0" encoding="utf-8"?>
<sst xmlns="http://schemas.openxmlformats.org/spreadsheetml/2006/main" count="136" uniqueCount="82">
  <si>
    <t>Item Name</t>
  </si>
  <si>
    <t>Category</t>
  </si>
  <si>
    <t>Last updated</t>
  </si>
  <si>
    <t>iron ore</t>
  </si>
  <si>
    <t>characteristics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</si>
  <si>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</si>
  <si>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</si>
  <si>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</si>
  <si>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</si>
  <si>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</si>
  <si>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</si>
  <si>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</si>
  <si>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</si>
  <si>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</si>
  <si>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</si>
  <si>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</si>
  <si>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</si>
  <si>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</si>
  <si>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</si>
  <si>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</si>
  <si>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</si>
  <si>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</si>
  <si>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</si>
  <si>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</si>
  <si>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</si>
  <si>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</si>
  <si>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</si>
  <si>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</si>
  <si>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linen</t>
  </si>
  <si>
    <t>coarse cloth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</si>
  <si>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</si>
  <si>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</si>
  <si>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</si>
  <si>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</si>
  <si>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</si>
  <si>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after-tax income from selling at market price</t>
  </si>
  <si>
    <t>cost of production</t>
  </si>
  <si>
    <t>after-tax market output price</t>
  </si>
  <si>
    <t>run macro:
ctrl + m
or, developer &gt; macros &gt; buyInputs &gt; run</t>
  </si>
  <si>
    <t>run macro:
ctrl + p
or, developer &gt; macros &gt; produceInputs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</si>
  <si>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</si>
  <si>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</si>
  <si>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</si>
  <si>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</si>
  <si>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</si>
  <si>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</si>
  <si>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</si>
  <si>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</si>
  <si>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</si>
  <si>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</si>
  <si>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</si>
  <si>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</si>
  <si>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</si>
  <si>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</si>
  <si>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</si>
  <si>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</si>
  <si>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</si>
  <si>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</si>
  <si>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</si>
  <si>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</si>
  <si>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</si>
  <si>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</si>
  <si>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</si>
  <si>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</si>
  <si>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</si>
  <si>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</si>
  <si>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</si>
  <si>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</si>
  <si>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</si>
  <si>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</si>
  <si>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</si>
  <si>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</si>
  <si>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</si>
  <si>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</si>
  <si>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</si>
  <si>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</si>
  <si>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</si>
  <si>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HP Potion</t>
  </si>
  <si>
    <t>gold prod. cost</t>
  </si>
  <si>
    <t>Major HP Potion</t>
  </si>
  <si>
    <t>Elemental HP Potion</t>
  </si>
  <si>
    <t>price/bundle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</si>
</sst>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28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27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P200" totalsRowShown="0">
  <autoFilter ref="D12:P200" xr:uid="{9F0016A1-758D-45C4-91BF-873B558EE650}"/>
  <tableColumns count="13">
    <tableColumn id="1" xr3:uid="{CDD36B55-E45C-4797-8BC2-908676E9CE93}" name="gold prod. cost"/>
    <tableColumn id="13" xr3:uid="{9EA41AA3-7E6A-4A68-B504-6E8650E953CF}" name="output product"/>
    <tableColumn id="12" xr3:uid="{AB431177-A4AC-4552-B0C4-456E55E03958}" name="output quantity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N19" totalsRowShown="0" headerRowDxfId="26">
  <autoFilter ref="E14:N19" xr:uid="{B211B308-D116-40B4-BC69-DB7F5617B2F3}"/>
  <tableColumns count="10">
    <tableColumn id="8" xr3:uid="{D3CE3A6C-76BF-40B4-BCCE-8AFC87B3B5E2}" name="Tax Rate"/>
    <tableColumn id="1" xr3:uid="{B98CF6CE-FD5D-4F37-9E3F-C57ABFC24F71}" name="output name"/>
    <tableColumn id="2" xr3:uid="{7B09EA4C-40BB-48C3-943F-71EF8CF565D7}" name="input name" dataDxfId="25">
      <calculatedColumnFormula>IFERROR(VLOOKUP($F$15,'ingredient table'!$D$13:$P$267,4,FALSE),"")</calculatedColumnFormula>
    </tableColumn>
    <tableColumn id="3" xr3:uid="{9CE0BC4B-00A3-4550-B86E-244440FBD0B1}" name="input quantity">
      <calculatedColumnFormula>IFERROR(VLOOKUP($F$15,'ingredient table'!$D$13:$P$267,3,FALSE),"")</calculatedColumnFormula>
    </tableColumn>
    <tableColumn id="4" xr3:uid="{FDB85396-D278-4144-BA78-1EA731756E1E}" name="market input price" dataDxfId="24">
      <calculatedColumnFormula>IFERROR(VLOOKUP($G15,vals!$A$8:$G$200,3,FALSE),"")</calculatedColumnFormula>
    </tableColumn>
    <tableColumn id="5" xr3:uid="{35E14541-1607-4A67-847B-85E87247BA7A}" name="market output price" dataDxfId="23">
      <calculatedColumnFormula>IFERROR(VLOOKUP($F15,vals!$A$8:$G$200,3,FALSE),"")</calculatedColumnFormula>
    </tableColumn>
    <tableColumn id="12" xr3:uid="{7264620B-2DFB-45BC-B71F-8D2E840D461B}" name="after-tax market output price"/>
    <tableColumn id="6" xr3:uid="{9A18F587-16DF-4409-B48B-673FBDFC39CC}" name="cost of production" dataDxfId="22">
      <calculatedColumnFormula>SUMPRODUCT(H15:H19,I15:I19)/(1-Table134[[#This Row],[Tax Rate]])</calculatedColumnFormula>
    </tableColumn>
    <tableColumn id="7" xr3:uid="{CC4660E4-5569-4E0D-9CE9-307695D2B77A}" name="manufacturing profit" dataDxfId="21">
      <calculatedColumnFormula>Table134[[#This Row],[market output price]]-Table134[[#This Row],[cost of production]]</calculatedColumnFormula>
    </tableColumn>
    <tableColumn id="10" xr3:uid="{62CB0614-F222-4C80-853A-3694909BFE9F}" name="implied market output price to break even" dataDxfId="2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19" headerRowBorderDxfId="18" tableBorderDxfId="17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A241-4513-4814-93B3-00DC53C41DD3}" name="Table1345" displayName="Table1345" ref="E14:N19" totalsRowShown="0" headerRowDxfId="16">
  <autoFilter ref="E14:N19" xr:uid="{B211B308-D116-40B4-BC69-DB7F5617B2F3}"/>
  <tableColumns count="10">
    <tableColumn id="8" xr3:uid="{4A64382C-9AAA-4E11-9EED-EC3758CC4BD9}" name="Tax Rate"/>
    <tableColumn id="1" xr3:uid="{81F04F09-C6D6-4B42-8968-9F56EF7A98E7}" name="output name"/>
    <tableColumn id="2" xr3:uid="{0101E69C-7480-4D23-8068-F531D25BDC03}" name="input name" dataDxfId="15">
      <calculatedColumnFormula>IFERROR(VLOOKUP($F$15,'ingredient table'!$D$13:$P$267,4,FALSE),"")</calculatedColumnFormula>
    </tableColumn>
    <tableColumn id="3" xr3:uid="{AC4AA1FF-AF4B-4FDC-9E5B-D46DE9CD1CF0}" name="input quantity">
      <calculatedColumnFormula>IFERROR(VLOOKUP($F$15,'ingredient table'!$D$13:$P$267,3,FALSE),"")</calculatedColumnFormula>
    </tableColumn>
    <tableColumn id="4" xr3:uid="{BED7B761-1592-4125-A7B4-E52AF4193AC9}" name="market input price" dataDxfId="14">
      <calculatedColumnFormula>IFERROR(VLOOKUP($G15,vals!$A$8:$G$200,3,FALSE)*(1-$E$15),"")</calculatedColumnFormula>
    </tableColumn>
    <tableColumn id="5" xr3:uid="{640D8888-572B-4B9E-A30C-BB6EC2BD3939}" name="market output price" dataDxfId="13">
      <calculatedColumnFormula>IFERROR(VLOOKUP($F15,vals!$A$8:$G$200,3,FALSE),"")</calculatedColumnFormula>
    </tableColumn>
    <tableColumn id="12" xr3:uid="{A77E4BA9-C69D-44C0-B009-FE6DF6ABA521}" name="after-tax market output price"/>
    <tableColumn id="6" xr3:uid="{DC6B3D9F-FEC6-40CF-88AF-99BC41F5464C}" name="cost of production" dataDxfId="12">
      <calculatedColumnFormula>SUMPRODUCT(H15:H19,I15:I19)/(1-Table1345[[#This Row],[Tax Rate]])</calculatedColumnFormula>
    </tableColumn>
    <tableColumn id="7" xr3:uid="{4127F4F9-6D83-4E6D-93BB-C4348A6F77A4}" name="manufacturing profit" dataDxfId="11">
      <calculatedColumnFormula>Table1345[[#This Row],[market output price]]-Table1345[[#This Row],[cost of production]]</calculatedColumnFormula>
    </tableColumn>
    <tableColumn id="10" xr3:uid="{1F3277AB-CBAF-44CE-8FB1-DEC461A5CE3F}" name="implied market output price to break even" dataDxfId="1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B8BC17-A44D-44B9-8823-3AA1B97F1A35}" name="Table57" displayName="Table57" ref="A1:B1048576" totalsRowShown="0" headerRowDxfId="9" headerRowBorderDxfId="8" tableBorderDxfId="7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C8587C52-B520-412C-A334-A4E902B52927}" name="Item Name"/>
    <tableColumn id="2" xr3:uid="{29B0DE50-039B-44CB-8EF4-BCAE14B236AA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zgrid.com/forum/index.php?thread/134028-loop-through-excel-drop-down-list-and-copy-paste-the-value/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abSelected="1" topLeftCell="A13" workbookViewId="0">
      <selection activeCell="M33" sqref="M33"/>
    </sheetView>
  </sheetViews>
  <sheetFormatPr defaultRowHeight="15" x14ac:dyDescent="0.25"/>
  <cols>
    <col min="1" max="1" width="20.710937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32</v>
      </c>
    </row>
    <row r="7" spans="1:7" x14ac:dyDescent="0.25">
      <c r="A7" s="2" t="s">
        <v>0</v>
      </c>
      <c r="B7" s="2" t="s">
        <v>1</v>
      </c>
      <c r="C7" s="2" t="s">
        <v>43</v>
      </c>
      <c r="D7" s="24" t="s">
        <v>42</v>
      </c>
      <c r="E7" s="2" t="s">
        <v>81</v>
      </c>
      <c r="F7" s="2" t="s">
        <v>2</v>
      </c>
      <c r="G7" s="2" t="s">
        <v>4</v>
      </c>
    </row>
    <row r="8" spans="1:7" x14ac:dyDescent="0.25">
      <c r="A8" s="14" t="s">
        <v>41</v>
      </c>
      <c r="B8" s="14" t="s">
        <v>40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44</v>
      </c>
      <c r="B9" s="14" t="s">
        <v>40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45</v>
      </c>
      <c r="B10" s="14" t="s">
        <v>40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46</v>
      </c>
      <c r="B11" s="14" t="s">
        <v>40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47</v>
      </c>
      <c r="B12" s="14" t="s">
        <v>40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48</v>
      </c>
      <c r="B13" s="14" t="s">
        <v>40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50</v>
      </c>
      <c r="B14" s="14" t="s">
        <v>49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51</v>
      </c>
      <c r="B15" s="14" t="s">
        <v>49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52</v>
      </c>
      <c r="B16" s="14" t="s">
        <v>49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53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54</v>
      </c>
      <c r="B18" s="14" t="s">
        <v>53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55</v>
      </c>
      <c r="B19" s="14" t="s">
        <v>53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56</v>
      </c>
      <c r="B20" s="14" t="s">
        <v>57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58</v>
      </c>
      <c r="B21" s="16" t="s">
        <v>57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59</v>
      </c>
      <c r="B22" s="16" t="s">
        <v>57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60</v>
      </c>
      <c r="B23" s="17" t="s">
        <v>57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61</v>
      </c>
      <c r="B24" s="17" t="s">
        <v>57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62</v>
      </c>
      <c r="B25" s="17" t="s">
        <v>57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63</v>
      </c>
      <c r="B26" s="17" t="s">
        <v>64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65</v>
      </c>
      <c r="B27" s="17" t="s">
        <v>64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66</v>
      </c>
      <c r="B28" s="18" t="s">
        <v>64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67</v>
      </c>
      <c r="B29" s="18" t="s">
        <v>64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68</v>
      </c>
      <c r="B30" s="18" t="s">
        <v>64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69</v>
      </c>
      <c r="B31" s="18" t="s">
        <v>64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71</v>
      </c>
      <c r="B32" s="18" t="s">
        <v>70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72</v>
      </c>
      <c r="B33" s="18" t="s">
        <v>70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73</v>
      </c>
      <c r="B34" s="18" t="s">
        <v>70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74</v>
      </c>
      <c r="B35" s="18" t="s">
        <v>70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75</v>
      </c>
      <c r="B36" s="18" t="s">
        <v>70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80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/>
      <c r="B38" s="18"/>
      <c r="C38" s="25" t="str">
        <f>IFERROR(Table1[[#This Row],[price/bundle]]/Table1[[#This Row],[units/bundle]],"")</f>
        <v/>
      </c>
      <c r="D38" s="28"/>
      <c r="E38" s="18"/>
      <c r="F38" s="21">
        <v>44608.10328703704</v>
      </c>
      <c r="G38" s="18"/>
    </row>
    <row r="39" spans="1:7" x14ac:dyDescent="0.25">
      <c r="A39" s="18"/>
      <c r="B39" s="18"/>
      <c r="C39" s="25" t="str">
        <f>IFERROR(Table1[[#This Row],[price/bundle]]/Table1[[#This Row],[units/bundle]],"")</f>
        <v/>
      </c>
      <c r="D39" s="28"/>
      <c r="E39" s="18"/>
      <c r="F39" s="21">
        <v>44603.003449074073</v>
      </c>
      <c r="G39" s="18"/>
    </row>
    <row r="40" spans="1:7" x14ac:dyDescent="0.25">
      <c r="A40" s="18"/>
      <c r="B40" s="18"/>
      <c r="C40" s="25" t="str">
        <f>IFERROR(Table1[[#This Row],[price/bundle]]/Table1[[#This Row],[units/bundle]],"")</f>
        <v/>
      </c>
      <c r="D40" s="28"/>
      <c r="E40" s="18"/>
      <c r="F40" s="21">
        <v>44603.003449074073</v>
      </c>
      <c r="G40" s="18"/>
    </row>
    <row r="41" spans="1:7" x14ac:dyDescent="0.25">
      <c r="A41" s="18"/>
      <c r="B41" s="18"/>
      <c r="C41" s="25" t="str">
        <f>IFERROR(Table1[[#This Row],[price/bundle]]/Table1[[#This Row],[units/bundle]],"")</f>
        <v/>
      </c>
      <c r="D41" s="28"/>
      <c r="E41" s="18"/>
      <c r="F41" s="21">
        <v>44603.003449074073</v>
      </c>
      <c r="G41" s="18"/>
    </row>
    <row r="42" spans="1:7" x14ac:dyDescent="0.25">
      <c r="A42" s="18"/>
      <c r="B42" s="18"/>
      <c r="C42" s="25" t="str">
        <f>IFERROR(Table1[[#This Row],[price/bundle]]/Table1[[#This Row],[units/bundle]],"")</f>
        <v/>
      </c>
      <c r="D42" s="28"/>
      <c r="E42" s="18"/>
      <c r="F42" s="21">
        <v>44603.003449074073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P15"/>
  <sheetViews>
    <sheetView topLeftCell="A12" workbookViewId="0">
      <selection activeCell="H16" sqref="H16"/>
    </sheetView>
  </sheetViews>
  <sheetFormatPr defaultRowHeight="15" x14ac:dyDescent="0.25"/>
  <cols>
    <col min="4" max="4" width="18.28515625" bestFit="1" customWidth="1"/>
    <col min="5" max="5" width="19.42578125" bestFit="1" customWidth="1"/>
    <col min="6" max="6" width="18.28515625" customWidth="1"/>
    <col min="7" max="7" width="16.5703125" bestFit="1" customWidth="1"/>
    <col min="8" max="8" width="12" customWidth="1"/>
    <col min="9" max="9" width="11.140625" bestFit="1" customWidth="1"/>
    <col min="10" max="10" width="12" customWidth="1"/>
    <col min="11" max="11" width="12.5703125" bestFit="1" customWidth="1"/>
    <col min="12" max="12" width="12" customWidth="1"/>
    <col min="13" max="13" width="9.5703125" customWidth="1"/>
    <col min="14" max="14" width="12" customWidth="1"/>
    <col min="15" max="15" width="10.5703125" bestFit="1" customWidth="1"/>
    <col min="16" max="16" width="12" customWidth="1"/>
  </cols>
  <sheetData>
    <row r="12" spans="4:16" x14ac:dyDescent="0.25">
      <c r="D12" t="s">
        <v>78</v>
      </c>
      <c r="E12" s="2" t="s">
        <v>17</v>
      </c>
      <c r="F12" s="2" t="s">
        <v>76</v>
      </c>
      <c r="G12" s="7" t="s">
        <v>18</v>
      </c>
      <c r="H12" s="7" t="s">
        <v>19</v>
      </c>
      <c r="I12" s="8" t="s">
        <v>20</v>
      </c>
      <c r="J12" s="8" t="s">
        <v>21</v>
      </c>
      <c r="K12" s="13" t="s">
        <v>22</v>
      </c>
      <c r="L12" s="13" t="s">
        <v>23</v>
      </c>
      <c r="M12" s="9" t="s">
        <v>24</v>
      </c>
      <c r="N12" s="9" t="s">
        <v>25</v>
      </c>
      <c r="O12" s="6" t="s">
        <v>26</v>
      </c>
      <c r="P12" s="6" t="s">
        <v>27</v>
      </c>
    </row>
    <row r="13" spans="4:16" x14ac:dyDescent="0.25">
      <c r="D13">
        <v>0</v>
      </c>
      <c r="E13" t="s">
        <v>77</v>
      </c>
      <c r="F13">
        <v>3</v>
      </c>
      <c r="G13" t="s">
        <v>47</v>
      </c>
      <c r="H13">
        <v>5</v>
      </c>
      <c r="I13" t="s">
        <v>41</v>
      </c>
      <c r="J13">
        <v>10</v>
      </c>
    </row>
    <row r="14" spans="4:16" x14ac:dyDescent="0.25">
      <c r="D14">
        <v>15</v>
      </c>
      <c r="E14" t="s">
        <v>79</v>
      </c>
      <c r="F14">
        <v>3</v>
      </c>
      <c r="G14" t="s">
        <v>47</v>
      </c>
      <c r="H14">
        <v>9</v>
      </c>
      <c r="I14" t="s">
        <v>41</v>
      </c>
      <c r="J14">
        <v>18</v>
      </c>
    </row>
    <row r="15" spans="4:16" x14ac:dyDescent="0.25">
      <c r="D15">
        <v>30</v>
      </c>
      <c r="E15" t="s">
        <v>80</v>
      </c>
      <c r="F15">
        <v>3</v>
      </c>
      <c r="G15" t="s">
        <v>45</v>
      </c>
      <c r="H15">
        <v>6</v>
      </c>
      <c r="I15" t="s">
        <v>47</v>
      </c>
      <c r="J15">
        <v>24</v>
      </c>
      <c r="K15" t="s">
        <v>41</v>
      </c>
      <c r="L15">
        <v>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N201"/>
  <sheetViews>
    <sheetView zoomScale="85" zoomScaleNormal="85" workbookViewId="0">
      <selection activeCell="F24" sqref="F24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34</v>
      </c>
    </row>
    <row r="2" spans="1:14" x14ac:dyDescent="0.25">
      <c r="A2" t="s">
        <v>6</v>
      </c>
      <c r="B2" s="4">
        <v>-10.5</v>
      </c>
    </row>
    <row r="3" spans="1:14" x14ac:dyDescent="0.25">
      <c r="A3" t="s">
        <v>7</v>
      </c>
      <c r="B3" s="4">
        <v>-12.1</v>
      </c>
    </row>
    <row r="4" spans="1:14" x14ac:dyDescent="0.25">
      <c r="A4" t="s">
        <v>5</v>
      </c>
      <c r="B4" s="4">
        <v>-17</v>
      </c>
    </row>
    <row r="5" spans="1:14" x14ac:dyDescent="0.25">
      <c r="A5" t="s">
        <v>8</v>
      </c>
      <c r="B5" s="4">
        <v>-61</v>
      </c>
    </row>
    <row r="6" spans="1:14" x14ac:dyDescent="0.25">
      <c r="A6" t="s">
        <v>9</v>
      </c>
      <c r="B6" s="4">
        <v>-50</v>
      </c>
    </row>
    <row r="7" spans="1:14" x14ac:dyDescent="0.25">
      <c r="A7" t="s">
        <v>28</v>
      </c>
      <c r="B7" s="4">
        <v>-0.65000000000000036</v>
      </c>
    </row>
    <row r="8" spans="1:14" x14ac:dyDescent="0.25">
      <c r="A8" t="s">
        <v>29</v>
      </c>
      <c r="B8" s="4">
        <v>-5.05</v>
      </c>
      <c r="F8" s="31" t="s">
        <v>38</v>
      </c>
      <c r="G8" s="32"/>
    </row>
    <row r="9" spans="1:14" x14ac:dyDescent="0.25">
      <c r="A9" t="s">
        <v>30</v>
      </c>
      <c r="B9" s="4">
        <v>-19</v>
      </c>
      <c r="F9" s="32"/>
      <c r="G9" s="32"/>
    </row>
    <row r="10" spans="1:14" x14ac:dyDescent="0.25">
      <c r="B10" s="4"/>
      <c r="F10" s="32"/>
      <c r="G10" s="32"/>
    </row>
    <row r="11" spans="1:14" x14ac:dyDescent="0.25">
      <c r="B11" s="4"/>
      <c r="J11" s="10" t="s">
        <v>31</v>
      </c>
      <c r="K11" s="10"/>
    </row>
    <row r="12" spans="1:14" x14ac:dyDescent="0.25">
      <c r="B12" s="4"/>
    </row>
    <row r="13" spans="1:14" x14ac:dyDescent="0.25">
      <c r="B13" s="4"/>
      <c r="J13" t="s">
        <v>35</v>
      </c>
    </row>
    <row r="14" spans="1:14" x14ac:dyDescent="0.25">
      <c r="B14" s="4"/>
      <c r="E14" s="2" t="s">
        <v>15</v>
      </c>
      <c r="F14" s="2" t="s">
        <v>11</v>
      </c>
      <c r="G14" s="2" t="s">
        <v>10</v>
      </c>
      <c r="H14" s="2" t="s">
        <v>12</v>
      </c>
      <c r="I14" s="2" t="s">
        <v>13</v>
      </c>
      <c r="J14" s="2" t="s">
        <v>14</v>
      </c>
      <c r="K14" s="2" t="s">
        <v>37</v>
      </c>
      <c r="L14" s="2" t="s">
        <v>36</v>
      </c>
      <c r="M14" s="2" t="s">
        <v>33</v>
      </c>
      <c r="N14" s="2" t="s">
        <v>16</v>
      </c>
    </row>
    <row r="15" spans="1:14" x14ac:dyDescent="0.25">
      <c r="B15" s="4"/>
      <c r="E15" s="3">
        <v>0.15</v>
      </c>
      <c r="G15" t="str">
        <f>IFERROR(VLOOKUP($F$15,'ingredient table'!$D$13:$P$200,2,FALSE),"")</f>
        <v>HP Potion</v>
      </c>
      <c r="H15">
        <f>IFERROR(VLOOKUP($F$15,'ingredient table'!$D$13:$P$200,3,FALSE),"")</f>
        <v>3</v>
      </c>
      <c r="I15" t="str">
        <f>IFERROR(VLOOKUP($G15,vals!$A$8:$G$200,3,FALSE),"")</f>
        <v/>
      </c>
      <c r="J15" t="str">
        <f>IFERROR(VLOOKUP($F15,vals!$A$8:$G$200,3,FALSE),"")</f>
        <v/>
      </c>
      <c r="K15" t="e">
        <f>Table134[[#This Row],[market output price]]*(1-Table134[[#This Row],[Tax Rate]])</f>
        <v>#VALUE!</v>
      </c>
      <c r="L15" s="5">
        <f>SUMPRODUCT(Table134[input quantity],Table134[market input price])</f>
        <v>17.2</v>
      </c>
      <c r="M15" s="4" t="str">
        <f>IFERROR(Table134[[#This Row],[after-tax market output price]]-Table134[[#This Row],[cost of production]],"")</f>
        <v/>
      </c>
      <c r="N15" s="4">
        <f>SUMPRODUCT(H15:H19,I15:I19)/(1-Table134[[#This Row],[Tax Rate]])</f>
        <v>20.235294117647058</v>
      </c>
    </row>
    <row r="16" spans="1:14" x14ac:dyDescent="0.25">
      <c r="B16" s="4"/>
      <c r="G16" t="str">
        <f>IFERROR(VLOOKUP($F$15,'ingredient table'!$D$13:$P$200,4,FALSE),"")</f>
        <v>shy wild flower</v>
      </c>
      <c r="H16">
        <f>IFERROR(VLOOKUP($F$15,'ingredient table'!$D$13:$P$200,5,FALSE),"")</f>
        <v>5</v>
      </c>
      <c r="I16">
        <f>IFERROR(VLOOKUP($G16,vals!$A$8:$G$200,3,FALSE),"")</f>
        <v>1</v>
      </c>
      <c r="J16" t="str">
        <f>IFERROR(VLOOKUP($F16,vals!$A$8:$G$200,3,FALSE),"")</f>
        <v/>
      </c>
      <c r="N16" s="5"/>
    </row>
    <row r="17" spans="2:14" x14ac:dyDescent="0.25">
      <c r="B17" s="4"/>
      <c r="G17" t="str">
        <f>IFERROR(VLOOKUP($F$15,'ingredient table'!$D$13:$P$200,6,FALSE),"")</f>
        <v>wild flower</v>
      </c>
      <c r="H17">
        <f>IFERROR(VLOOKUP($F$15,'ingredient table'!$D$13:$P$200,7,FALSE),"")</f>
        <v>10</v>
      </c>
      <c r="I17">
        <f>IFERROR(VLOOKUP($G17,vals!$A$8:$G$200,3,FALSE),"")</f>
        <v>1.22</v>
      </c>
      <c r="J17" t="str">
        <f>IFERROR(VLOOKUP($F17,vals!$A$8:$G$200,3,FALSE),"")</f>
        <v/>
      </c>
      <c r="N17" s="5"/>
    </row>
    <row r="18" spans="2:14" x14ac:dyDescent="0.25">
      <c r="B18" s="4"/>
      <c r="G18">
        <f>IFERROR(VLOOKUP($F$15,'ingredient table'!$D$13:$P$200,8,FALSE),"")</f>
        <v>0</v>
      </c>
      <c r="H18">
        <f>IFERROR(VLOOKUP($F$15,'ingredient table'!$D$13:$P$200,9,FALSE),"")</f>
        <v>0</v>
      </c>
      <c r="I18" t="str">
        <f>IFERROR(VLOOKUP($G18,vals!$A$8:$G$200,3,FALSE),"")</f>
        <v/>
      </c>
      <c r="J18" t="str">
        <f>IFERROR(VLOOKUP($F18,vals!$A$8:$G$200,3,FALSE),"")</f>
        <v/>
      </c>
      <c r="N18" s="5"/>
    </row>
    <row r="19" spans="2:14" x14ac:dyDescent="0.25">
      <c r="B19" s="4"/>
      <c r="G19">
        <f>IFERROR(VLOOKUP($F$15,'ingredient table'!$D$13:$P$200,10,FALSE),"")</f>
        <v>0</v>
      </c>
      <c r="H19">
        <f>IFERROR(VLOOKUP($F$15,'ingredient table'!$D$13:$P$200,11,FALSE),"")</f>
        <v>0</v>
      </c>
      <c r="I19" t="str">
        <f>IFERROR(VLOOKUP($G19,vals!$A$8:$G$200,3,FALSE),"")</f>
        <v/>
      </c>
      <c r="J19" t="str">
        <f>IFERROR(VLOOKUP($F19,vals!$A$8:$G$200,3,FALSE),"")</f>
        <v/>
      </c>
      <c r="N19" s="5"/>
    </row>
    <row r="20" spans="2:14" x14ac:dyDescent="0.25">
      <c r="B20" s="4"/>
      <c r="I20" t="str">
        <f>IFERROR(VLOOKUP($G20,vals!$A$8:$G$200,3,FALSE),"")</f>
        <v/>
      </c>
      <c r="J20" t="str">
        <f>IFERROR(VLOOKUP($F20,vals!$A$8:$G$200,3,FALSE),"")</f>
        <v/>
      </c>
    </row>
    <row r="21" spans="2:14" x14ac:dyDescent="0.25">
      <c r="B21" s="4"/>
      <c r="I21" t="str">
        <f>IFERROR(VLOOKUP($G21,vals!$A$8:$G$200,3,FALSE),"")</f>
        <v/>
      </c>
      <c r="J21" t="str">
        <f>IFERROR(VLOOKUP($F21,vals!$A$8:$G$200,3,FALSE),"")</f>
        <v/>
      </c>
      <c r="L21" s="5"/>
    </row>
    <row r="22" spans="2:14" x14ac:dyDescent="0.25">
      <c r="B22" s="4"/>
      <c r="I22" t="str">
        <f>IFERROR(VLOOKUP($G22,vals!$A$8:$G$200,3,FALSE),"")</f>
        <v/>
      </c>
      <c r="J22" t="str">
        <f>IFERROR(VLOOKUP($F22,vals!$A$8:$G$200,3,FALSE),"")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50E0-CED8-4F28-BE15-8C3C1EB94CEE}">
  <sheetPr codeName="Sheet5">
    <pageSetUpPr autoPageBreaks="0"/>
  </sheetPr>
  <dimension ref="A1:N201"/>
  <sheetViews>
    <sheetView zoomScale="85" zoomScaleNormal="85" workbookViewId="0">
      <selection activeCell="F15" sqref="F1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34</v>
      </c>
    </row>
    <row r="2" spans="1:14" x14ac:dyDescent="0.25">
      <c r="A2" t="s">
        <v>6</v>
      </c>
      <c r="B2" s="4">
        <v>-13.599999999999998</v>
      </c>
    </row>
    <row r="3" spans="1:14" x14ac:dyDescent="0.25">
      <c r="A3" t="s">
        <v>7</v>
      </c>
      <c r="B3" s="4">
        <v>-6.8000000000000007</v>
      </c>
    </row>
    <row r="4" spans="1:14" x14ac:dyDescent="0.25">
      <c r="A4" t="s">
        <v>5</v>
      </c>
      <c r="B4" s="4">
        <v>-8.5000000000000036</v>
      </c>
    </row>
    <row r="5" spans="1:14" x14ac:dyDescent="0.25">
      <c r="A5" t="s">
        <v>8</v>
      </c>
      <c r="B5" s="4">
        <v>-40.800000000000011</v>
      </c>
    </row>
    <row r="6" spans="1:14" x14ac:dyDescent="0.25">
      <c r="A6" t="s">
        <v>9</v>
      </c>
      <c r="B6" s="4">
        <v>-22.949999999999989</v>
      </c>
    </row>
    <row r="7" spans="1:14" x14ac:dyDescent="0.25">
      <c r="A7" t="s">
        <v>28</v>
      </c>
      <c r="B7" s="4">
        <v>0.84999999999999964</v>
      </c>
    </row>
    <row r="8" spans="1:14" x14ac:dyDescent="0.25">
      <c r="A8" t="s">
        <v>29</v>
      </c>
      <c r="B8" s="4">
        <v>-3.3999999999999995</v>
      </c>
      <c r="F8" s="31" t="s">
        <v>39</v>
      </c>
      <c r="G8" s="32"/>
    </row>
    <row r="9" spans="1:14" x14ac:dyDescent="0.25">
      <c r="A9" t="s">
        <v>30</v>
      </c>
      <c r="B9" s="4">
        <v>-15.3</v>
      </c>
      <c r="F9" s="32"/>
      <c r="G9" s="32"/>
    </row>
    <row r="10" spans="1:14" x14ac:dyDescent="0.25">
      <c r="B10" s="4"/>
      <c r="F10" s="32"/>
      <c r="G10" s="32"/>
    </row>
    <row r="11" spans="1:14" x14ac:dyDescent="0.25">
      <c r="B11" s="4"/>
      <c r="J11" s="10" t="s">
        <v>31</v>
      </c>
      <c r="K11" s="10"/>
    </row>
    <row r="12" spans="1:14" x14ac:dyDescent="0.25">
      <c r="B12" s="4"/>
    </row>
    <row r="13" spans="1:14" x14ac:dyDescent="0.25">
      <c r="B13" s="4"/>
      <c r="J13" t="s">
        <v>35</v>
      </c>
    </row>
    <row r="14" spans="1:14" x14ac:dyDescent="0.25">
      <c r="B14" s="4"/>
      <c r="E14" s="2" t="s">
        <v>15</v>
      </c>
      <c r="F14" s="2" t="s">
        <v>11</v>
      </c>
      <c r="G14" s="2" t="s">
        <v>10</v>
      </c>
      <c r="H14" s="2" t="s">
        <v>12</v>
      </c>
      <c r="I14" s="2" t="s">
        <v>13</v>
      </c>
      <c r="J14" s="2" t="s">
        <v>14</v>
      </c>
      <c r="K14" s="2" t="s">
        <v>37</v>
      </c>
      <c r="L14" s="2" t="s">
        <v>36</v>
      </c>
      <c r="M14" s="2" t="s">
        <v>33</v>
      </c>
      <c r="N14" s="2" t="s">
        <v>16</v>
      </c>
    </row>
    <row r="15" spans="1:14" x14ac:dyDescent="0.25">
      <c r="B15" s="4"/>
      <c r="E15" s="3">
        <v>0.15</v>
      </c>
      <c r="G15" t="str">
        <f>IFERROR(VLOOKUP($F$15,'ingredient table'!$D$13:$P$200,2,FALSE),"")</f>
        <v>HP Potion</v>
      </c>
      <c r="H15">
        <f>IFERROR(VLOOKUP($F$15,'ingredient table'!$D$13:$P$200,3,FALSE),"")</f>
        <v>3</v>
      </c>
      <c r="I15" t="str">
        <f>IFERROR(VLOOKUP($G15,vals!$A$8:$G$200,3,FALSE)*(1-$E$15),"")</f>
        <v/>
      </c>
      <c r="J15" t="str">
        <f>IFERROR(VLOOKUP($F15,vals!$A$8:$G$200,3,FALSE),"")</f>
        <v/>
      </c>
      <c r="K15" t="e">
        <f>Table1345[[#This Row],[market output price]]*(1-Table1345[[#This Row],[Tax Rate]])</f>
        <v>#VALUE!</v>
      </c>
      <c r="L15" s="5">
        <f>SUMPRODUCT(Table1345[input quantity],Table1345[market input price])</f>
        <v>14.62</v>
      </c>
      <c r="M15" s="4" t="str">
        <f>IFERROR(Table1345[[#This Row],[after-tax market output price]]-Table1345[[#This Row],[cost of production]],"")</f>
        <v/>
      </c>
      <c r="N15" s="4">
        <f>SUMPRODUCT(H15:H19,I15:I19)/(1-Table1345[[#This Row],[Tax Rate]])</f>
        <v>17.2</v>
      </c>
    </row>
    <row r="16" spans="1:14" x14ac:dyDescent="0.25">
      <c r="B16" s="4"/>
      <c r="G16" t="str">
        <f>IFERROR(VLOOKUP($F$15,'ingredient table'!$D$13:$P$200,4,FALSE),"")</f>
        <v>shy wild flower</v>
      </c>
      <c r="H16">
        <f>IFERROR(VLOOKUP($F$15,'ingredient table'!$D$13:$P$200,5,FALSE),"")</f>
        <v>5</v>
      </c>
      <c r="I16">
        <f>IFERROR(VLOOKUP($G16,vals!$A$8:$G$200,3,FALSE)*(1-$E$15),"")</f>
        <v>0.85</v>
      </c>
      <c r="J16" t="str">
        <f>IFERROR(VLOOKUP($F16,vals!$A$8:$G$200,3,FALSE),"")</f>
        <v/>
      </c>
      <c r="N16" s="5"/>
    </row>
    <row r="17" spans="2:14" x14ac:dyDescent="0.25">
      <c r="B17" s="4"/>
      <c r="G17" t="str">
        <f>IFERROR(VLOOKUP($F$15,'ingredient table'!$D$13:$P$200,6,FALSE),"")</f>
        <v>wild flower</v>
      </c>
      <c r="H17">
        <f>IFERROR(VLOOKUP($F$15,'ingredient table'!$D$13:$P$200,7,FALSE),"")</f>
        <v>10</v>
      </c>
      <c r="I17">
        <f>IFERROR(VLOOKUP($G17,vals!$A$8:$G$200,3,FALSE)*(1-$E$15),"")</f>
        <v>1.0369999999999999</v>
      </c>
      <c r="J17" t="str">
        <f>IFERROR(VLOOKUP($F17,vals!$A$8:$G$200,3,FALSE),"")</f>
        <v/>
      </c>
      <c r="N17" s="5"/>
    </row>
    <row r="18" spans="2:14" x14ac:dyDescent="0.25">
      <c r="B18" s="4"/>
      <c r="G18">
        <f>IFERROR(VLOOKUP($F$15,'ingredient table'!$D$13:$P$200,8,FALSE),"")</f>
        <v>0</v>
      </c>
      <c r="H18">
        <f>IFERROR(VLOOKUP($F$15,'ingredient table'!$D$13:$P$200,9,FALSE),"")</f>
        <v>0</v>
      </c>
      <c r="I18" t="str">
        <f>IFERROR(VLOOKUP($G18,vals!$A$8:$G$200,3,FALSE)*(1-$E$15),"")</f>
        <v/>
      </c>
      <c r="J18" t="str">
        <f>IFERROR(VLOOKUP($F18,vals!$A$8:$G$200,3,FALSE),"")</f>
        <v/>
      </c>
      <c r="N18" s="5"/>
    </row>
    <row r="19" spans="2:14" x14ac:dyDescent="0.25">
      <c r="B19" s="4"/>
      <c r="G19">
        <f>IFERROR(VLOOKUP($F$15,'ingredient table'!$D$13:$P$200,10,FALSE),"")</f>
        <v>0</v>
      </c>
      <c r="H19">
        <f>IFERROR(VLOOKUP($F$15,'ingredient table'!$D$13:$P$200,11,FALSE),"")</f>
        <v>0</v>
      </c>
      <c r="I19" t="str">
        <f>IFERROR(VLOOKUP($G19,vals!$A$8:$G$200,3,FALSE)*(1-$E$15),"")</f>
        <v/>
      </c>
      <c r="J19" t="str">
        <f>IFERROR(VLOOKUP($F19,vals!$A$8:$G$200,3,FALSE),"")</f>
        <v/>
      </c>
      <c r="N19" s="5"/>
    </row>
    <row r="20" spans="2:14" x14ac:dyDescent="0.25">
      <c r="B20" s="4"/>
      <c r="I20" t="str">
        <f>IFERROR(VLOOKUP($G20,vals!$A$8:$G$200,3,FALSE),"")</f>
        <v/>
      </c>
      <c r="J20" t="str">
        <f>IFERROR(VLOOKUP($F20,vals!$A$8:$G$200,3,FALSE),"")</f>
        <v/>
      </c>
    </row>
    <row r="21" spans="2:14" x14ac:dyDescent="0.25">
      <c r="B21" s="4"/>
      <c r="I21" t="str">
        <f>IFERROR(VLOOKUP($G21,vals!$A$8:$G$200,3,FALSE),"")</f>
        <v/>
      </c>
      <c r="J21" t="str">
        <f>IFERROR(VLOOKUP($F21,vals!$A$8:$G$200,3,FALSE),"")</f>
        <v/>
      </c>
      <c r="L21" s="5"/>
    </row>
    <row r="22" spans="2:14" x14ac:dyDescent="0.25">
      <c r="B22" s="4"/>
      <c r="I22" t="str">
        <f>IFERROR(VLOOKUP($G22,vals!$A$8:$G$200,3,FALSE),"")</f>
        <v/>
      </c>
      <c r="J22" t="str">
        <f>IFERROR(VLOOKUP($F22,vals!$A$8:$G$200,3,FALSE),"")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AA39E7AA-7891-4E2E-9716-44E589F776BC}"/>
  </hyperlinks>
  <pageMargins left="0.7" right="0.7" top="0.75" bottom="0.75" header="0.3" footer="0.3"/>
  <pageSetup orientation="portrait"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21E7A-0BDB-40B7-9BD1-51F29780146E}">
          <x14:formula1>
            <xm:f>vals!$A$7:$A$200</xm:f>
          </x14:formula1>
          <xm:sqref>G20:G22</xm:sqref>
        </x14:dataValidation>
        <x14:dataValidation type="list" allowBlank="1" showInputMessage="1" showErrorMessage="1" xr:uid="{BF1E2205-6240-4585-825C-7904CDA8B513}">
          <x14:formula1>
            <xm:f>'ingredient table'!$D$13:$D$200</xm:f>
          </x14:formula1>
          <xm:sqref>F15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2022-03-12T05:42:31Z</dcterms:modified>
</cp:coreProperties>
</file>