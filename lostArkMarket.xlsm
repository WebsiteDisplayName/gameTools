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E8A64283-6285-4489-B915-FE21E41EEC66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  <sheet name="mari's battle item chest arb" sheetId="9" r:id="rId5"/>
    <sheet name="enhancing additional mats worth" sheetId="10" r:id="rId6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0" i="10" l="1"/>
  <c r="G41" i="10"/>
  <c r="H41" i="10" s="1"/>
  <c r="I41" i="10" s="1"/>
  <c r="J41" i="10" s="1"/>
  <c r="K41" i="10" s="1"/>
  <c r="L41" i="10" s="1"/>
  <c r="M41" i="10" s="1"/>
  <c r="N41" i="10" s="1"/>
  <c r="O41" i="10" s="1"/>
  <c r="P41" i="10" s="1"/>
  <c r="Q41" i="10" s="1"/>
  <c r="R41" i="10" s="1"/>
  <c r="S41" i="10" s="1"/>
  <c r="T41" i="10" s="1"/>
  <c r="F41" i="10"/>
  <c r="F42" i="10" s="1"/>
  <c r="J31" i="10"/>
  <c r="J32" i="10"/>
  <c r="J33" i="10"/>
  <c r="J29" i="10"/>
  <c r="H25" i="10"/>
  <c r="F18" i="10"/>
  <c r="G18" i="10" s="1"/>
  <c r="G10" i="10"/>
  <c r="E15" i="9"/>
  <c r="E17" i="9" s="1"/>
  <c r="E10" i="9"/>
  <c r="G44" i="8"/>
  <c r="G35" i="8"/>
  <c r="F35" i="8"/>
  <c r="M15" i="8"/>
  <c r="J15" i="5"/>
  <c r="N10" i="8"/>
  <c r="K10" i="5"/>
  <c r="H20" i="8"/>
  <c r="G20" i="8"/>
  <c r="I20" i="8" s="1"/>
  <c r="M20" i="8"/>
  <c r="G20" i="5"/>
  <c r="I20" i="5" s="1"/>
  <c r="H20" i="5"/>
  <c r="J20" i="5"/>
  <c r="M22" i="8"/>
  <c r="I22" i="8"/>
  <c r="M21" i="8"/>
  <c r="I21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H15" i="8"/>
  <c r="G15" i="8"/>
  <c r="I15" i="8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3" i="5"/>
  <c r="I23" i="5"/>
  <c r="J22" i="5"/>
  <c r="I22" i="5"/>
  <c r="J21" i="5"/>
  <c r="I21" i="5"/>
  <c r="J19" i="5"/>
  <c r="J18" i="5"/>
  <c r="J17" i="5"/>
  <c r="J16" i="5"/>
  <c r="F43" i="10" l="1"/>
  <c r="J35" i="10"/>
  <c r="K29" i="10"/>
  <c r="K18" i="10"/>
  <c r="K15" i="5"/>
  <c r="N15" i="8"/>
  <c r="S15" i="5"/>
  <c r="V15" i="8"/>
  <c r="J20" i="8"/>
  <c r="J17" i="8"/>
  <c r="J16" i="8"/>
  <c r="J18" i="8"/>
  <c r="I19" i="8"/>
  <c r="J15" i="8"/>
  <c r="M15" i="5"/>
  <c r="P15" i="5" s="1"/>
  <c r="R15" i="5" s="1"/>
  <c r="M29" i="10" l="1"/>
  <c r="N29" i="10" s="1"/>
  <c r="G42" i="10"/>
  <c r="G43" i="10" s="1"/>
  <c r="L29" i="10"/>
  <c r="K18" i="8"/>
  <c r="L18" i="8" s="1"/>
  <c r="K16" i="8"/>
  <c r="L16" i="8" s="1"/>
  <c r="K17" i="8"/>
  <c r="L17" i="8" s="1"/>
  <c r="K15" i="8"/>
  <c r="L15" i="8" s="1"/>
  <c r="K20" i="8"/>
  <c r="L20" i="8" s="1"/>
  <c r="O15" i="8"/>
  <c r="L19" i="8"/>
  <c r="L15" i="5"/>
  <c r="Q15" i="5" s="1"/>
  <c r="H42" i="10" l="1"/>
  <c r="H43" i="10" s="1"/>
  <c r="P15" i="8"/>
  <c r="S15" i="8" s="1"/>
  <c r="U15" i="8" s="1"/>
  <c r="I42" i="10" l="1"/>
  <c r="I43" i="10" s="1"/>
  <c r="T15" i="8"/>
  <c r="J42" i="10" l="1"/>
  <c r="J43" i="10" s="1"/>
  <c r="K42" i="10" l="1"/>
  <c r="K43" i="10" s="1"/>
  <c r="L42" i="10" l="1"/>
  <c r="L43" i="10" s="1"/>
  <c r="M42" i="10" l="1"/>
  <c r="M43" i="10" s="1"/>
  <c r="N42" i="10" l="1"/>
  <c r="N43" i="10" s="1"/>
  <c r="O42" i="10" l="1"/>
  <c r="O43" i="10" s="1"/>
  <c r="P42" i="10" l="1"/>
  <c r="P43" i="10" s="1"/>
  <c r="Q42" i="10" l="1"/>
  <c r="Q43" i="10" s="1"/>
  <c r="R42" i="10" l="1"/>
  <c r="R43" i="10" s="1"/>
  <c r="S42" i="10" l="1"/>
  <c r="S43" i="10" s="1"/>
  <c r="T42" i="10" l="1"/>
  <c r="T43" i="10" s="1"/>
  <c r="M18" i="10" s="1"/>
</calcChain>
</file>

<file path=xl/sharedStrings.xml><?xml version="1.0" encoding="utf-8"?>
<sst xmlns="http://schemas.openxmlformats.org/spreadsheetml/2006/main" count="243" uniqueCount="150">
  <si>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</si>
  <si>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</si>
  <si>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</si>
  <si>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</si>
  <si>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</si>
  <si>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</si>
  <si>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</si>
  <si>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</si>
  <si>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</si>
  <si>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</si>
  <si>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</si>
  <si>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</si>
  <si>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</si>
  <si>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</si>
  <si>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</si>
  <si>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</si>
  <si>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</si>
  <si>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</si>
  <si>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</si>
  <si>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</si>
  <si>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</si>
  <si>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</si>
  <si>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</si>
  <si>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</si>
  <si>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</si>
  <si>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</si>
  <si>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</si>
  <si>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</si>
  <si>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</si>
  <si>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</si>
  <si>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</si>
  <si>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</si>
  <si>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</si>
  <si>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</si>
  <si>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</si>
  <si>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</si>
  <si>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</si>
  <si>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</si>
  <si>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</si>
  <si>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</si>
  <si>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</si>
  <si>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</si>
  <si>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</si>
  <si>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</si>
  <si>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</si>
  <si>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</si>
  <si>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</si>
  <si>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</si>
  <si>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</si>
  <si>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</si>
  <si>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</si>
  <si>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</si>
  <si>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</si>
  <si>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</si>
  <si>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</si>
  <si>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</si>
  <si>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</si>
  <si>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</si>
  <si>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</si>
  <si>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</si>
  <si>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</si>
  <si>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</si>
  <si>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</si>
  <si>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</si>
  <si>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</si>
  <si>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</si>
  <si>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</si>
  <si>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</si>
  <si>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</si>
  <si>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</si>
  <si>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</si>
  <si>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tax rate = 5%</t>
  </si>
  <si>
    <t>current pre-tax market price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</si>
  <si>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</si>
  <si>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</si>
  <si>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</si>
  <si>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</si>
  <si>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</si>
  <si>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</si>
  <si>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hp potion</t>
  </si>
  <si>
    <t>major hp potion</t>
  </si>
  <si>
    <t>elemental hp potion</t>
  </si>
  <si>
    <t>destruction bomb</t>
  </si>
  <si>
    <t>whirlwind grenade</t>
  </si>
  <si>
    <t>name 6</t>
  </si>
  <si>
    <t>name 7</t>
  </si>
  <si>
    <t>expert butter steak meal</t>
  </si>
  <si>
    <t>units/batch</t>
  </si>
  <si>
    <t>Implied pre-tax breakeven/bundle</t>
  </si>
  <si>
    <t>run macro:
ctrl + p
or, developer &gt; macros &gt; produceInputs &gt; run</t>
  </si>
  <si>
    <t>artisans garlic steak meal</t>
  </si>
  <si>
    <t>intuition: input prices are opportunity cost of just selling mats on the market</t>
  </si>
  <si>
    <t>flare</t>
  </si>
  <si>
    <t>units/market bundle</t>
  </si>
  <si>
    <t>manufacturing profit/bundle</t>
  </si>
  <si>
    <t>Manufacturing Profit/bundle</t>
  </si>
  <si>
    <t>Gold cost per 95 blue gem gained</t>
  </si>
  <si>
    <t>Gold per gem</t>
  </si>
  <si>
    <t>Individual item cost on market</t>
  </si>
  <si>
    <t>Chest cost in blue gems</t>
  </si>
  <si>
    <t>Desired item quantity per chest</t>
  </si>
  <si>
    <t>Implied individual item cost from chest</t>
  </si>
  <si>
    <t>Should I buy the chest instead of the market?</t>
  </si>
  <si>
    <t>Base Inputs</t>
  </si>
  <si>
    <t>Name</t>
  </si>
  <si>
    <t>Quantity</t>
  </si>
  <si>
    <t>Market Price</t>
  </si>
  <si>
    <t>Additional Inputs</t>
  </si>
  <si>
    <t xml:space="preserve">Name </t>
  </si>
  <si>
    <t>simple oreha fusion material</t>
  </si>
  <si>
    <t>honor leapstone</t>
  </si>
  <si>
    <t>guardian stone crystal</t>
  </si>
  <si>
    <t>solar grace</t>
  </si>
  <si>
    <t>solar blessing</t>
  </si>
  <si>
    <t>solar protection</t>
  </si>
  <si>
    <t>% improv/unit</t>
  </si>
  <si>
    <t>Base success rate</t>
  </si>
  <si>
    <t xml:space="preserve">Total value at risk per tap </t>
  </si>
  <si>
    <t>Market Price/unit</t>
  </si>
  <si>
    <t>Gold cost per tap</t>
  </si>
  <si>
    <t>Intuition: if you fail, you will need more resources to have a chance at succeeding and exiting the loop</t>
  </si>
  <si>
    <t>sum of infinite geometric series</t>
  </si>
  <si>
    <t>sum = a/(1-r)</t>
  </si>
  <si>
    <t>a = 330.4*50.5%</t>
  </si>
  <si>
    <t>r = 50.5%</t>
  </si>
  <si>
    <t xml:space="preserve">sum = </t>
  </si>
  <si>
    <t>Add. Mat. sum of infinite geometric series of fail cost</t>
  </si>
  <si>
    <t>books</t>
  </si>
  <si>
    <t>e.g. 330.4*50.5% *(1+50.5% + (50.5%)^2 + (50.5%)^3 + …)</t>
  </si>
  <si>
    <t>quanity of mats</t>
  </si>
  <si>
    <t>Money saved/mat</t>
  </si>
  <si>
    <t>destruction stone crystal</t>
  </si>
  <si>
    <t>Adjusted fail rate</t>
  </si>
  <si>
    <t>Adjusted success rate</t>
  </si>
  <si>
    <t>Total money saved</t>
  </si>
  <si>
    <t>Base success rate sum of infinite geometric series of fail cost</t>
  </si>
  <si>
    <t>total market cost</t>
  </si>
  <si>
    <t>total</t>
  </si>
  <si>
    <t>Total money saved/total market cost</t>
  </si>
  <si>
    <t>Inputs</t>
  </si>
  <si>
    <t>adjusted fail rate</t>
  </si>
  <si>
    <t>make sure pity enhance gain &lt;= adjusted failed rate</t>
  </si>
  <si>
    <t>cumulative % relevance</t>
  </si>
  <si>
    <t>cost savings</t>
  </si>
  <si>
    <t>Pity enhance rate increase per fail (decreases fail rate by x)</t>
  </si>
  <si>
    <t>pity enhance fail rate decrease</t>
  </si>
  <si>
    <t>base fail rate</t>
  </si>
  <si>
    <t xml:space="preserve">Pity enhance rate cost savings </t>
  </si>
  <si>
    <t>tailoring: basic mending</t>
  </si>
  <si>
    <t>metallurgy: basic welding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</si>
</sst>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,\ hh:mm:ss"/>
    <numFmt numFmtId="165" formatCode="0.00000%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2" fillId="8" borderId="0" xfId="0" applyFont="1" applyFill="1"/>
    <xf numFmtId="4" fontId="0" fillId="13" borderId="0" xfId="0" applyNumberFormat="1" applyFill="1"/>
    <xf numFmtId="10" fontId="0" fillId="0" borderId="0" xfId="0" applyNumberFormat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34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33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R200" totalsRowShown="0">
  <autoFilter ref="D12:R200" xr:uid="{9F0016A1-758D-45C4-91BF-873B558EE650}"/>
  <tableColumns count="15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5" xr3:uid="{D1C35057-FE0B-405F-AE53-E85C22798F7C}" name="quantity 5"/>
    <tableColumn id="14" xr3:uid="{016C52B4-08FD-4298-BF28-CFA3204DE920}" name="name 6"/>
    <tableColumn id="11" xr3:uid="{2A58B4BA-73C1-4845-8314-CCF591839AE4}" name="name 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20" totalsRowShown="0" headerRowDxfId="32">
  <autoFilter ref="F14:S20" xr:uid="{B211B308-D116-40B4-BC69-DB7F5617B2F3}"/>
  <tableColumns count="14">
    <tableColumn id="1" xr3:uid="{B98CF6CE-FD5D-4F37-9E3F-C57ABFC24F71}" name="output name"/>
    <tableColumn id="2" xr3:uid="{7B09EA4C-40BB-48C3-943F-71EF8CF565D7}" name="input name" dataDxfId="31">
      <calculatedColumnFormula>IFERROR(VLOOKUP($F$15,'ingredient table'!$D$13:$R$267,4,FALSE),"")</calculatedColumnFormula>
    </tableColumn>
    <tableColumn id="3" xr3:uid="{9CE0BC4B-00A3-4550-B86E-244440FBD0B1}" name="input quantity">
      <calculatedColumnFormula>IFERROR(VLOOKUP($F$15,'ingredient table'!$D$13:$R$267,3,FALSE),"")</calculatedColumnFormula>
    </tableColumn>
    <tableColumn id="4" xr3:uid="{FDB85396-D278-4144-BA78-1EA731756E1E}" name="market input price/unit" dataDxfId="30">
      <calculatedColumnFormula>IFERROR(VLOOKUP($G15,vals!$A$8:$G$200,3,FALSE),"")</calculatedColumnFormula>
    </tableColumn>
    <tableColumn id="5" xr3:uid="{35E14541-1607-4A67-847B-85E87247BA7A}" name="market output price/unit" dataDxfId="29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8">
      <calculatedColumnFormula>SUMPRODUCT(H15:H20,I15:I20)/(1-#REF!)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7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breakeven/bundle"/>
    <tableColumn id="10" xr3:uid="{62CB0614-F222-4C80-853A-3694909BFE9F}" name="current pre-tax market price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25" headerRowBorderDxfId="24" tableBorderDxfId="2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22"/>
    <tableColumn id="3" xr3:uid="{A2B9C0C5-2B74-47D3-9056-C58C90DF65C7}" name="Manufacturing Profit" dataDxfId="21"/>
    <tableColumn id="2" xr3:uid="{3AB33DA5-36C9-4E74-BB07-406CF16B5994}" name="Implied pre-tax breakeven/bundl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20" totalsRowShown="0" headerRowDxfId="19">
  <autoFilter ref="F14:V20" xr:uid="{B211B308-D116-40B4-BC69-DB7F5617B2F3}"/>
  <tableColumns count="17">
    <tableColumn id="1" xr3:uid="{3EE6918B-38BF-4442-B236-78C47E9231A4}" name="output name"/>
    <tableColumn id="2" xr3:uid="{067820BD-F379-4F8B-A121-3163D5E1A9B3}" name="input name" dataDxfId="18">
      <calculatedColumnFormula>IFERROR(VLOOKUP($F$15,'ingredient table'!$D$13:$R$267,4,FALSE),"")</calculatedColumnFormula>
    </tableColumn>
    <tableColumn id="3" xr3:uid="{DC1164EF-35F2-448D-B104-8741D1A58A2A}" name="input quantity">
      <calculatedColumnFormula>IFERROR(VLOOKUP($F$15,'ingredient table'!$D$13:$R$267,3,FALSE),"")</calculatedColumnFormula>
    </tableColumn>
    <tableColumn id="4" xr3:uid="{11A90EFF-F3AA-4DAF-9D4B-F214B39D0EAB}" name="market input price/unit" dataDxfId="17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16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15">
      <calculatedColumnFormula>SUMPRODUCT(H15:H20,I15:I20)/(1-#REF!)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bundle" dataDxfId="14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breakeven/bundle"/>
    <tableColumn id="10" xr3:uid="{06B50909-1328-4DCD-B83D-5B8038ECEC13}" name="current pre-tax market price" dataDxfId="1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12" headerRowBorderDxfId="11" tableBorderDxfId="10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9"/>
    <tableColumn id="3" xr3:uid="{52DF98A1-EC7B-4ED4-8270-3C55D6CB569B}" name="Manufacturing Profit/bundle" dataDxfId="8"/>
    <tableColumn id="2" xr3:uid="{13CB3E25-B351-4569-9C01-DCA64D0428EE}" name="Implied pre-tax breakeven/bundle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workbookViewId="0">
      <selection activeCell="K37" sqref="K37"/>
    </sheetView>
  </sheetViews>
  <sheetFormatPr defaultRowHeight="15" x14ac:dyDescent="0.25"/>
  <cols>
    <col min="1" max="1" width="23.4257812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61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81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 t="s">
        <v>83</v>
      </c>
      <c r="B38" s="18"/>
      <c r="C38" s="25">
        <f>IFERROR(Table1[[#This Row],[price/bundle]]/Table1[[#This Row],[units/bundle]],"")</f>
        <v>12</v>
      </c>
      <c r="D38" s="28">
        <v>1</v>
      </c>
      <c r="E38" s="18">
        <v>12</v>
      </c>
      <c r="F38" s="21">
        <v>44632.243263888886</v>
      </c>
      <c r="G38" s="18"/>
    </row>
    <row r="39" spans="1:7" x14ac:dyDescent="0.25">
      <c r="A39" s="18" t="s">
        <v>82</v>
      </c>
      <c r="B39" s="18"/>
      <c r="C39" s="25">
        <f>IFERROR(Table1[[#This Row],[price/bundle]]/Table1[[#This Row],[units/bundle]],"")</f>
        <v>19</v>
      </c>
      <c r="D39" s="28">
        <v>1</v>
      </c>
      <c r="E39" s="18">
        <v>19</v>
      </c>
      <c r="F39" s="21">
        <v>44632.243483796294</v>
      </c>
      <c r="G39" s="18"/>
    </row>
    <row r="40" spans="1:7" x14ac:dyDescent="0.25">
      <c r="A40" s="18" t="s">
        <v>86</v>
      </c>
      <c r="B40" s="18"/>
      <c r="C40" s="25">
        <f>IFERROR(Table1[[#This Row],[price/bundle]]/Table1[[#This Row],[units/bundle]],"")</f>
        <v>33.9</v>
      </c>
      <c r="D40" s="28">
        <v>10</v>
      </c>
      <c r="E40" s="18">
        <v>339</v>
      </c>
      <c r="F40" s="21">
        <v>44632.248738425929</v>
      </c>
      <c r="G40" s="18"/>
    </row>
    <row r="41" spans="1:7" x14ac:dyDescent="0.25">
      <c r="A41" s="18" t="s">
        <v>90</v>
      </c>
      <c r="B41" s="18"/>
      <c r="C41" s="25">
        <f>IFERROR(Table1[[#This Row],[price/bundle]]/Table1[[#This Row],[units/bundle]],"")</f>
        <v>8.1</v>
      </c>
      <c r="D41" s="28">
        <v>10</v>
      </c>
      <c r="E41" s="18">
        <v>81</v>
      </c>
      <c r="F41" s="21">
        <v>44632.285671296297</v>
      </c>
      <c r="G41" s="18"/>
    </row>
    <row r="42" spans="1:7" x14ac:dyDescent="0.25">
      <c r="A42" s="18" t="s">
        <v>92</v>
      </c>
      <c r="B42" s="18"/>
      <c r="C42" s="25">
        <f>IFERROR(Table1[[#This Row],[price/bundle]]/Table1[[#This Row],[units/bundle]],"")</f>
        <v>24</v>
      </c>
      <c r="D42" s="28">
        <v>1</v>
      </c>
      <c r="E42" s="18">
        <v>24</v>
      </c>
      <c r="F42" s="21">
        <v>44632.323287037034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R20"/>
  <sheetViews>
    <sheetView topLeftCell="A7" workbookViewId="0">
      <selection activeCell="E21" sqref="E21"/>
    </sheetView>
  </sheetViews>
  <sheetFormatPr defaultRowHeight="15" x14ac:dyDescent="0.25"/>
  <cols>
    <col min="4" max="4" width="23.285156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.140625" bestFit="1" customWidth="1"/>
    <col min="17" max="17" width="10.5703125" customWidth="1"/>
    <col min="18" max="18" width="12" customWidth="1"/>
  </cols>
  <sheetData>
    <row r="12" spans="4:18" x14ac:dyDescent="0.25">
      <c r="D12" s="2" t="s">
        <v>8</v>
      </c>
      <c r="E12" s="2" t="s">
        <v>60</v>
      </c>
      <c r="F12" s="2" t="s">
        <v>62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  <c r="Q12" s="33" t="s">
        <v>84</v>
      </c>
      <c r="R12" s="14" t="s">
        <v>85</v>
      </c>
    </row>
    <row r="13" spans="4:18" x14ac:dyDescent="0.25">
      <c r="D13" t="s">
        <v>79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8" x14ac:dyDescent="0.25">
      <c r="D14" t="s">
        <v>80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8" x14ac:dyDescent="0.25">
      <c r="D15" t="s">
        <v>81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8" x14ac:dyDescent="0.25">
      <c r="D16" t="s">
        <v>82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8" x14ac:dyDescent="0.25">
      <c r="D17" t="s">
        <v>83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  <row r="18" spans="4:18" x14ac:dyDescent="0.25">
      <c r="D18" t="s">
        <v>86</v>
      </c>
      <c r="E18">
        <v>10</v>
      </c>
      <c r="F18">
        <v>25</v>
      </c>
      <c r="G18" t="s">
        <v>43</v>
      </c>
      <c r="H18">
        <v>10</v>
      </c>
      <c r="I18" t="s">
        <v>50</v>
      </c>
      <c r="J18">
        <v>10</v>
      </c>
      <c r="K18" t="s">
        <v>46</v>
      </c>
      <c r="L18">
        <v>40</v>
      </c>
      <c r="M18" t="s">
        <v>53</v>
      </c>
      <c r="N18">
        <v>40</v>
      </c>
      <c r="O18" t="s">
        <v>40</v>
      </c>
      <c r="P18">
        <v>80</v>
      </c>
      <c r="Q18" t="s">
        <v>47</v>
      </c>
      <c r="R18">
        <v>80</v>
      </c>
    </row>
    <row r="19" spans="4:18" x14ac:dyDescent="0.25">
      <c r="D19" t="s">
        <v>90</v>
      </c>
      <c r="E19">
        <v>10</v>
      </c>
      <c r="F19">
        <v>0</v>
      </c>
      <c r="G19" t="s">
        <v>46</v>
      </c>
      <c r="H19">
        <v>38</v>
      </c>
      <c r="I19" t="s">
        <v>53</v>
      </c>
      <c r="J19">
        <v>38</v>
      </c>
      <c r="K19" t="s">
        <v>40</v>
      </c>
      <c r="L19">
        <v>60</v>
      </c>
      <c r="M19" t="s">
        <v>47</v>
      </c>
      <c r="N19">
        <v>60</v>
      </c>
    </row>
    <row r="20" spans="4:18" x14ac:dyDescent="0.25">
      <c r="D20" t="s">
        <v>92</v>
      </c>
      <c r="E20">
        <v>3</v>
      </c>
      <c r="F20">
        <v>0</v>
      </c>
      <c r="G20" t="s">
        <v>52</v>
      </c>
      <c r="H20">
        <v>20</v>
      </c>
      <c r="I20" t="s">
        <v>25</v>
      </c>
      <c r="J20">
        <v>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3"/>
  <sheetViews>
    <sheetView zoomScale="85" zoomScaleNormal="85" workbookViewId="0">
      <selection activeCell="J30" sqref="J30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78</v>
      </c>
      <c r="C1" s="12" t="s">
        <v>21</v>
      </c>
      <c r="D1" s="32" t="s">
        <v>88</v>
      </c>
    </row>
    <row r="2" spans="1:20" x14ac:dyDescent="0.25">
      <c r="A2" t="s">
        <v>79</v>
      </c>
      <c r="B2" s="4">
        <v>5.7333333333333334</v>
      </c>
    </row>
    <row r="3" spans="1:20" x14ac:dyDescent="0.25">
      <c r="A3" t="s">
        <v>80</v>
      </c>
      <c r="B3" s="4">
        <v>15.32</v>
      </c>
    </row>
    <row r="4" spans="1:20" x14ac:dyDescent="0.25">
      <c r="A4" t="s">
        <v>81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82</v>
      </c>
      <c r="B5" s="4">
        <v>14.466666666666667</v>
      </c>
      <c r="C5" s="4">
        <v>3.5333333333333332</v>
      </c>
      <c r="D5" s="4">
        <v>15.466666666666667</v>
      </c>
    </row>
    <row r="6" spans="1:20" x14ac:dyDescent="0.25">
      <c r="A6" t="s">
        <v>83</v>
      </c>
      <c r="B6" s="4">
        <v>12.6</v>
      </c>
      <c r="C6" s="4">
        <v>-1.5999999999999996</v>
      </c>
      <c r="D6" s="4">
        <v>13.6</v>
      </c>
    </row>
    <row r="7" spans="1:20" x14ac:dyDescent="0.25">
      <c r="A7" t="s">
        <v>86</v>
      </c>
      <c r="B7" s="4">
        <v>37.220000000000006</v>
      </c>
      <c r="C7" s="4">
        <v>-50.200000000000102</v>
      </c>
      <c r="D7" s="4">
        <v>374.2000000000001</v>
      </c>
    </row>
    <row r="8" spans="1:20" x14ac:dyDescent="0.25">
      <c r="A8" t="s">
        <v>90</v>
      </c>
      <c r="B8" s="4">
        <v>18.399999999999999</v>
      </c>
      <c r="C8" s="4">
        <v>-107.99999999999999</v>
      </c>
      <c r="D8" s="4">
        <v>185</v>
      </c>
      <c r="F8" s="36" t="s">
        <v>23</v>
      </c>
      <c r="G8" s="37"/>
    </row>
    <row r="9" spans="1:20" x14ac:dyDescent="0.25">
      <c r="A9" t="s">
        <v>92</v>
      </c>
      <c r="B9" s="4">
        <v>22.233333333333331</v>
      </c>
      <c r="C9" s="4">
        <v>-0.23333333333333073</v>
      </c>
      <c r="D9" s="4">
        <v>24.233333333333331</v>
      </c>
      <c r="F9" s="37"/>
      <c r="G9" s="37"/>
    </row>
    <row r="10" spans="1:20" x14ac:dyDescent="0.25">
      <c r="F10" s="37"/>
      <c r="G10" s="37"/>
      <c r="J10" s="2" t="s">
        <v>87</v>
      </c>
      <c r="K10" t="str">
        <f>IFERROR(VLOOKUP($F15,vals!$A$8:$G$200,4,FALSE),"")</f>
        <v/>
      </c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71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65</v>
      </c>
      <c r="K14" s="2" t="s">
        <v>70</v>
      </c>
      <c r="L14" s="2" t="s">
        <v>66</v>
      </c>
      <c r="M14" s="2" t="s">
        <v>67</v>
      </c>
      <c r="N14" s="2" t="s">
        <v>69</v>
      </c>
      <c r="O14" s="2" t="s">
        <v>68</v>
      </c>
      <c r="P14" s="2" t="s">
        <v>73</v>
      </c>
      <c r="Q14" s="2" t="s">
        <v>63</v>
      </c>
      <c r="R14" s="2" t="s">
        <v>88</v>
      </c>
      <c r="S14" s="2" t="s">
        <v>72</v>
      </c>
      <c r="T14" s="2"/>
    </row>
    <row r="15" spans="1:20" x14ac:dyDescent="0.25">
      <c r="G15" t="str">
        <f>IFERROR(VLOOKUP($F$15,'ingredient table'!$D$13:$R$200,4,FALSE),"")</f>
        <v/>
      </c>
      <c r="H15" t="str">
        <f>IFERROR(VLOOKUP($F$15,'ingredient table'!$D$13:$R$200,5,FALSE),"")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price/unit]]*K10*K13))/K10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table'!$D$13:$R$200,3,FALSE),"")</f>
        <v/>
      </c>
      <c r="O15" t="str">
        <f>IFERROR(VLOOKUP($F$15,'ingredient table'!$D$13:$R$200,2,FALSE),"")</f>
        <v/>
      </c>
      <c r="P15" t="str">
        <f>IFERROR((M15+N15)/O15,"")</f>
        <v/>
      </c>
      <c r="Q15" s="4" t="str">
        <f>IFERROR((L15-P15)*K10,"")</f>
        <v/>
      </c>
      <c r="R15" s="4" t="str">
        <f>IFERROR((MAX(1,_xlfn.CEILING.MATH(P15*K13))/K10+P15)*K10,"")</f>
        <v/>
      </c>
      <c r="S15" s="5" t="e">
        <f>Table134[[#This Row],[market output price/unit]]*K10</f>
        <v>#VALUE!</v>
      </c>
      <c r="T15" s="4"/>
    </row>
    <row r="16" spans="1:20" x14ac:dyDescent="0.25">
      <c r="G16" t="str">
        <f>IFERROR(VLOOKUP($F$15,'ingredient table'!$D$13:$R$200,6,FALSE),"")</f>
        <v/>
      </c>
      <c r="H16" t="str">
        <f>IFERROR(VLOOKUP($F$15,'ingredient table'!$D$13:$R$200,7,FALSE),"")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table'!$D$13:$R$200,8,FALSE),"")</f>
        <v/>
      </c>
      <c r="H17" t="str">
        <f>IFERROR(VLOOKUP($F$15,'ingredient table'!$D$13:$R$200,9,FALSE),"")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table'!$D$13:$R$200,10,FALSE),"")</f>
        <v/>
      </c>
      <c r="H18" t="str">
        <f>IFERROR(VLOOKUP($F$15,'ingredient table'!$D$13:$R$200,11,FALSE),"")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table'!$D$13:$R$200,12,FALSE),"")</f>
        <v/>
      </c>
      <c r="H19" t="str">
        <f>IFERROR(VLOOKUP($F$15,'ingredient table'!$D$13:$R$200,13,FALSE),"")</f>
        <v/>
      </c>
      <c r="I19" t="str">
        <f>IFERROR(VLOOKUP($G19,vals!$A$8:$G$200,3,FALSE),"")</f>
        <v/>
      </c>
      <c r="J19" t="str">
        <f>IFERROR(VLOOKUP($F20,vals!$A$8:$G$200,3,FALSE),"")</f>
        <v/>
      </c>
      <c r="S19" s="5"/>
      <c r="T19" s="5"/>
    </row>
    <row r="20" spans="7:20" x14ac:dyDescent="0.25">
      <c r="G20" t="str">
        <f>IFERROR(VLOOKUP($F$15,'ingredient table'!$D$13:$R$200,12,FALSE),"")</f>
        <v/>
      </c>
      <c r="H20" t="str">
        <f>IFERROR(VLOOKUP($F$15,'ingredient table'!$D$13:$R$200,13,FALSE),"")</f>
        <v/>
      </c>
      <c r="I20" t="str">
        <f>IFERROR(VLOOKUP($G20,vals!$A$8:$G$200,3,FALSE),"")</f>
        <v/>
      </c>
      <c r="J20" t="str">
        <f>IFERROR(VLOOKUP($F21,vals!$A$8:$G$200,3,FALSE),"")</f>
        <v/>
      </c>
      <c r="S20" s="5"/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  <c r="M22" s="5"/>
      <c r="N22" s="5"/>
      <c r="O22" s="5"/>
      <c r="P22" s="5"/>
    </row>
    <row r="23" spans="7:20" x14ac:dyDescent="0.25">
      <c r="I23" t="str">
        <f>IFERROR(VLOOKUP($G23,vals!$A$8:$G$200,3,FALSE),"")</f>
        <v/>
      </c>
      <c r="J23" t="str">
        <f>IFERROR(VLOOKUP($F23,vals!$A$8:$G$200,3,FALSE),"")</f>
        <v/>
      </c>
    </row>
    <row r="31" spans="7:20" x14ac:dyDescent="0.25">
      <c r="L31" s="3"/>
    </row>
    <row r="32" spans="7:20" x14ac:dyDescent="0.25">
      <c r="L32" s="4"/>
    </row>
    <row r="33" spans="12:12" x14ac:dyDescent="0.25">
      <c r="L33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G21:G23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44"/>
  <sheetViews>
    <sheetView topLeftCell="F22" zoomScale="85" zoomScaleNormal="85" workbookViewId="0">
      <selection activeCell="I40" sqref="I40"/>
    </sheetView>
  </sheetViews>
  <sheetFormatPr defaultRowHeight="15" x14ac:dyDescent="0.25"/>
  <cols>
    <col min="1" max="1" width="25.5703125" bestFit="1" customWidth="1"/>
    <col min="2" max="2" width="20.140625" style="4" customWidth="1"/>
    <col min="3" max="3" width="29.42578125" style="4" bestFit="1" customWidth="1"/>
    <col min="4" max="4" width="34.710937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5.14062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9.285156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77</v>
      </c>
      <c r="C1" s="12" t="s">
        <v>95</v>
      </c>
      <c r="D1" s="32" t="s">
        <v>88</v>
      </c>
    </row>
    <row r="2" spans="1:23" x14ac:dyDescent="0.25">
      <c r="A2" t="s">
        <v>79</v>
      </c>
      <c r="B2" s="4">
        <v>5.333333333333333</v>
      </c>
    </row>
    <row r="3" spans="1:23" x14ac:dyDescent="0.25">
      <c r="A3" t="s">
        <v>80</v>
      </c>
      <c r="B3" s="4">
        <v>14.6</v>
      </c>
    </row>
    <row r="4" spans="1:23" x14ac:dyDescent="0.25">
      <c r="A4" t="s">
        <v>81</v>
      </c>
      <c r="B4" s="4">
        <v>37.6</v>
      </c>
      <c r="C4" s="4">
        <v>-0.60000000000000142</v>
      </c>
      <c r="D4" s="4">
        <v>39.6</v>
      </c>
    </row>
    <row r="5" spans="1:23" x14ac:dyDescent="0.25">
      <c r="A5" t="s">
        <v>82</v>
      </c>
      <c r="B5" s="4">
        <v>13.520000000000001</v>
      </c>
      <c r="C5" s="4">
        <v>4.4799999999999986</v>
      </c>
      <c r="D5" s="4">
        <v>14.520000000000001</v>
      </c>
    </row>
    <row r="6" spans="1:23" x14ac:dyDescent="0.25">
      <c r="A6" t="s">
        <v>83</v>
      </c>
      <c r="B6" s="4">
        <v>11.839999999999998</v>
      </c>
      <c r="C6" s="4">
        <v>-0.83999999999999808</v>
      </c>
      <c r="D6" s="4">
        <v>12.839999999999998</v>
      </c>
    </row>
    <row r="7" spans="1:23" x14ac:dyDescent="0.25">
      <c r="A7" t="s">
        <v>86</v>
      </c>
      <c r="B7" s="4">
        <v>36.200000000000003</v>
      </c>
      <c r="C7" s="4">
        <v>-40.000000000000071</v>
      </c>
      <c r="D7" s="4">
        <v>364.00000000000006</v>
      </c>
    </row>
    <row r="8" spans="1:23" x14ac:dyDescent="0.25">
      <c r="A8" t="s">
        <v>90</v>
      </c>
      <c r="B8" s="4">
        <v>17.04</v>
      </c>
      <c r="C8" s="4">
        <v>-94.399999999999991</v>
      </c>
      <c r="D8" s="4">
        <v>171.4</v>
      </c>
      <c r="F8" s="36" t="s">
        <v>89</v>
      </c>
      <c r="G8" s="37"/>
    </row>
    <row r="9" spans="1:23" x14ac:dyDescent="0.25">
      <c r="A9" t="s">
        <v>92</v>
      </c>
      <c r="B9" s="4">
        <v>20.75</v>
      </c>
      <c r="C9" s="4">
        <v>1.25</v>
      </c>
      <c r="D9" s="4">
        <v>22.75</v>
      </c>
      <c r="F9" s="37"/>
      <c r="G9" s="37"/>
      <c r="J9" t="s">
        <v>91</v>
      </c>
    </row>
    <row r="10" spans="1:23" x14ac:dyDescent="0.25">
      <c r="F10" s="37"/>
      <c r="G10" s="37"/>
      <c r="M10" s="2" t="s">
        <v>93</v>
      </c>
      <c r="N10">
        <f>IFERROR(VLOOKUP($F15,vals!$A$8:$G$200,4,FALSE),"")</f>
        <v>10</v>
      </c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71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75</v>
      </c>
      <c r="K14" s="2" t="s">
        <v>74</v>
      </c>
      <c r="L14" s="2" t="s">
        <v>76</v>
      </c>
      <c r="M14" s="2" t="s">
        <v>65</v>
      </c>
      <c r="N14" s="2" t="s">
        <v>70</v>
      </c>
      <c r="O14" s="2" t="s">
        <v>66</v>
      </c>
      <c r="P14" s="2" t="s">
        <v>67</v>
      </c>
      <c r="Q14" s="2" t="s">
        <v>69</v>
      </c>
      <c r="R14" s="2" t="s">
        <v>68</v>
      </c>
      <c r="S14" s="2" t="s">
        <v>73</v>
      </c>
      <c r="T14" s="2" t="s">
        <v>94</v>
      </c>
      <c r="U14" s="2" t="s">
        <v>88</v>
      </c>
      <c r="V14" s="2" t="s">
        <v>72</v>
      </c>
      <c r="W14" s="2"/>
    </row>
    <row r="15" spans="1:23" x14ac:dyDescent="0.25">
      <c r="F15" t="s">
        <v>90</v>
      </c>
      <c r="G15" t="str">
        <f>IFERROR(VLOOKUP($F$15,'ingredient table'!$D$13:$R$200,4,FALSE),"")</f>
        <v>treated meat</v>
      </c>
      <c r="H15">
        <f>IFERROR(VLOOKUP($F$15,'ingredient table'!$D$13:$R$200,5,FALSE),"")</f>
        <v>38</v>
      </c>
      <c r="I15">
        <f>IFERROR(VLOOKUP($G15,vals!$A$8:$G$200,3,FALSE),"")</f>
        <v>1.2</v>
      </c>
      <c r="J15">
        <f>IFERROR(MAX(1,_xlfn.CEILING.MATH(IFERROR(VLOOKUP(G15,vals!$A$8:$G$200,5,FALSE),"")*$N$13)),"")</f>
        <v>1</v>
      </c>
      <c r="K15">
        <f>IFERROR(J15/VLOOKUP($G15,vals!$A$8:$G$200,4,FALSE),"")</f>
        <v>0.1</v>
      </c>
      <c r="L15">
        <f>IFERROR(I15-K15,"")</f>
        <v>1.0999999999999999</v>
      </c>
      <c r="M15">
        <f>IFERROR(VLOOKUP($F15,vals!$A$8:$G$200,3,FALSE),"")</f>
        <v>8.1</v>
      </c>
      <c r="N15" s="34">
        <f>MAX(1,_xlfn.CEILING.MATH(Table1348[[#This Row],[market output price/unit]]*N10*N13))/N10</f>
        <v>0.5</v>
      </c>
      <c r="O15" s="4">
        <f>Table1348[[#This Row],[market output price/unit]]-Table1348[[#This Row],[expected absolute tax/unit]]</f>
        <v>7.6</v>
      </c>
      <c r="P15" s="5">
        <f>SUMPRODUCT(H15:H20,L15:L20)</f>
        <v>170.39999999999998</v>
      </c>
      <c r="Q15" s="5">
        <f>IFERROR(VLOOKUP($F$15,'ingredient table'!$D$13:$R$200,3,FALSE),"")</f>
        <v>0</v>
      </c>
      <c r="R15">
        <f>IFERROR(VLOOKUP($F$15,'ingredient table'!$D$13:$R$200,2,FALSE),"")</f>
        <v>10</v>
      </c>
      <c r="S15">
        <f>IFERROR((P15+Q15)/R15,"")</f>
        <v>17.04</v>
      </c>
      <c r="T15" s="4">
        <f>IFERROR((O15-S15)*N10,"")</f>
        <v>-94.399999999999991</v>
      </c>
      <c r="U15" s="4">
        <f>IFERROR((MAX(1,_xlfn.CEILING.MATH(S15*N13))/N10+S15)*N10,"")</f>
        <v>171.4</v>
      </c>
      <c r="V15" s="5">
        <f>Table1348[[#This Row],[market output price/unit]]*N10</f>
        <v>81</v>
      </c>
      <c r="W15" s="4"/>
    </row>
    <row r="16" spans="1:23" x14ac:dyDescent="0.25">
      <c r="G16" t="str">
        <f>IFERROR(VLOOKUP($F$15,'ingredient table'!$D$13:$R$200,6,FALSE),"")</f>
        <v>redflesh fish</v>
      </c>
      <c r="H16">
        <f>IFERROR(VLOOKUP($F$15,'ingredient table'!$D$13:$R$200,7,FALSE),"")</f>
        <v>38</v>
      </c>
      <c r="I16">
        <f>IFERROR(VLOOKUP($G16,vals!$A$8:$G$200,3,FALSE),"")</f>
        <v>0.8</v>
      </c>
      <c r="J16">
        <f>IFERROR(MAX(1,_xlfn.CEILING.MATH(IFERROR(VLOOKUP(G16,vals!$A$8:$G$200,5,FALSE),"")*$N$13)),"")</f>
        <v>1</v>
      </c>
      <c r="K16">
        <f>IFERROR(J16/VLOOKUP($G16,vals!$A$8:$G$200,4,FALSE),"")</f>
        <v>0.1</v>
      </c>
      <c r="L16">
        <f t="shared" ref="L16:L19" si="0">IFERROR(I16-K16,"")</f>
        <v>0.70000000000000007</v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table'!$D$13:$R$200,8,FALSE),"")</f>
        <v>thick raw meat</v>
      </c>
      <c r="H17">
        <f>IFERROR(VLOOKUP($F$15,'ingredient table'!$D$13:$R$200,9,FALSE),"")</f>
        <v>60</v>
      </c>
      <c r="I17">
        <f>IFERROR(VLOOKUP($G17,vals!$A$8:$G$200,3,FALSE),"")</f>
        <v>0.82</v>
      </c>
      <c r="J17">
        <f>IFERROR(MAX(1,_xlfn.CEILING.MATH(IFERROR(VLOOKUP(G17,vals!$A$8:$G$200,5,FALSE),"")*$N$13)),"")</f>
        <v>5</v>
      </c>
      <c r="K17">
        <f>IFERROR(J17/VLOOKUP($G17,vals!$A$8:$G$200,4,FALSE),"")</f>
        <v>0.05</v>
      </c>
      <c r="L17">
        <f t="shared" si="0"/>
        <v>0.76999999999999991</v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table'!$D$13:$R$200,10,FALSE),"")</f>
        <v>fish</v>
      </c>
      <c r="H18">
        <f>IFERROR(VLOOKUP($F$15,'ingredient table'!$D$13:$R$200,11,FALSE),"")</f>
        <v>60</v>
      </c>
      <c r="I18">
        <f>IFERROR(VLOOKUP($G18,vals!$A$8:$G$200,3,FALSE),"")</f>
        <v>0.98</v>
      </c>
      <c r="J18">
        <f>IFERROR(MAX(1,_xlfn.CEILING.MATH(IFERROR(VLOOKUP(G18,vals!$A$8:$G$200,5,FALSE),"")*$N$13)),"")</f>
        <v>5</v>
      </c>
      <c r="K18">
        <f>IFERROR(J18/VLOOKUP($G18,vals!$A$8:$G$200,4,FALSE),"")</f>
        <v>0.05</v>
      </c>
      <c r="L18">
        <f t="shared" si="0"/>
        <v>0.92999999999999994</v>
      </c>
      <c r="M18" t="str">
        <f>IFERROR(VLOOKUP($F18,vals!$A$8:$G$200,3,FALSE),"")</f>
        <v/>
      </c>
      <c r="V18" s="5"/>
      <c r="W18" s="5"/>
    </row>
    <row r="19" spans="7:23" x14ac:dyDescent="0.25">
      <c r="G19">
        <f>IFERROR(VLOOKUP($F$15,'ingredient table'!$D$13:$R$200,12,FALSE),"")</f>
        <v>0</v>
      </c>
      <c r="H19">
        <f>IFERROR(VLOOKUP($F$15,'ingredient table'!$D$13:$R$200,13,FALSE),"")</f>
        <v>0</v>
      </c>
      <c r="I19" t="str">
        <f>IFERROR(VLOOKUP($G19,vals!$A$8:$G$200,3,FALSE),"")</f>
        <v/>
      </c>
      <c r="J19" t="str">
        <f>IFERROR(MAX(1,_xlfn.CEILING.MATH(IFERROR(VLOOKUP(G19,vals!$A$8:$G$200,5,FALSE),"")*$N$13)),"")</f>
        <v/>
      </c>
      <c r="K19" t="str">
        <f>IFERROR(J19/VLOOKUP($G19,vals!$A$8:$G$200,4,FALSE),"")</f>
        <v/>
      </c>
      <c r="L19" t="str">
        <f t="shared" si="0"/>
        <v/>
      </c>
      <c r="M19" t="str">
        <f>IFERROR(VLOOKUP($F19,vals!$A$8:$G$200,3,FALSE),"")</f>
        <v/>
      </c>
      <c r="V19" s="5"/>
      <c r="W19" s="5"/>
    </row>
    <row r="20" spans="7:23" x14ac:dyDescent="0.25">
      <c r="G20">
        <f>IFERROR(VLOOKUP($F$15,'ingredient table'!$D$13:$R$200,14,FALSE),"")</f>
        <v>0</v>
      </c>
      <c r="H20">
        <f>IFERROR(VLOOKUP($F$15,'ingredient table'!$D$13:$R$200,15,FALSE),"")</f>
        <v>0</v>
      </c>
      <c r="I20" t="str">
        <f>IFERROR(VLOOKUP($G20,vals!$A$8:$G$200,3,FALSE),"")</f>
        <v/>
      </c>
      <c r="J20" t="str">
        <f>IFERROR(MAX(1,_xlfn.CEILING.MATH(IFERROR(VLOOKUP(G20,vals!$A$8:$G$200,5,FALSE),"")*$N$13)),"")</f>
        <v/>
      </c>
      <c r="K20" t="str">
        <f>IFERROR(J20/VLOOKUP($G20,vals!$A$8:$G$200,4,FALSE),"")</f>
        <v/>
      </c>
      <c r="L20" t="str">
        <f t="shared" ref="L20" si="1">IFERROR(I20-K20,"")</f>
        <v/>
      </c>
      <c r="M20" t="str">
        <f>IFERROR(VLOOKUP($F20,vals!$A$8:$G$200,3,FALSE),"")</f>
        <v/>
      </c>
      <c r="V20" s="5"/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  <row r="35" spans="6:7" x14ac:dyDescent="0.25">
      <c r="F35">
        <f>26*14</f>
        <v>364</v>
      </c>
      <c r="G35">
        <f>2000-751</f>
        <v>1249</v>
      </c>
    </row>
    <row r="44" spans="6:7" x14ac:dyDescent="0.25">
      <c r="G44">
        <f>1250-360</f>
        <v>890</v>
      </c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G21:G22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7234-8C50-432D-9071-FD007CE7E8C5}">
  <sheetPr codeName="Sheet1"/>
  <dimension ref="D9:E17"/>
  <sheetViews>
    <sheetView workbookViewId="0">
      <selection activeCell="I14" sqref="I14"/>
    </sheetView>
  </sheetViews>
  <sheetFormatPr defaultRowHeight="15" x14ac:dyDescent="0.25"/>
  <cols>
    <col min="4" max="4" width="41.85546875" bestFit="1" customWidth="1"/>
  </cols>
  <sheetData>
    <row r="9" spans="4:5" x14ac:dyDescent="0.25">
      <c r="D9" t="s">
        <v>96</v>
      </c>
      <c r="E9" s="31">
        <v>800</v>
      </c>
    </row>
    <row r="10" spans="4:5" x14ac:dyDescent="0.25">
      <c r="D10" t="s">
        <v>97</v>
      </c>
      <c r="E10" s="4">
        <f>E9/95</f>
        <v>8.4210526315789469</v>
      </c>
    </row>
    <row r="12" spans="4:5" x14ac:dyDescent="0.25">
      <c r="D12" t="s">
        <v>99</v>
      </c>
      <c r="E12" s="31">
        <v>25</v>
      </c>
    </row>
    <row r="13" spans="4:5" x14ac:dyDescent="0.25">
      <c r="D13" t="s">
        <v>100</v>
      </c>
      <c r="E13" s="31">
        <v>5</v>
      </c>
    </row>
    <row r="15" spans="4:5" x14ac:dyDescent="0.25">
      <c r="D15" t="s">
        <v>101</v>
      </c>
      <c r="E15" s="4">
        <f>(E12*E10)/E13</f>
        <v>42.105263157894733</v>
      </c>
    </row>
    <row r="16" spans="4:5" x14ac:dyDescent="0.25">
      <c r="D16" t="s">
        <v>98</v>
      </c>
      <c r="E16" s="31">
        <v>50</v>
      </c>
    </row>
    <row r="17" spans="4:5" x14ac:dyDescent="0.25">
      <c r="D17" t="s">
        <v>102</v>
      </c>
      <c r="E17" t="str">
        <f>IF(E15&lt;E16,"Yes","No")</f>
        <v>Yes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5C50-1DE6-472E-B35E-A6A4701EF32D}">
  <sheetPr codeName="Sheet5"/>
  <dimension ref="E4:T48"/>
  <sheetViews>
    <sheetView tabSelected="1" topLeftCell="E7" zoomScale="85" zoomScaleNormal="85" workbookViewId="0">
      <selection activeCell="L25" sqref="L25"/>
    </sheetView>
  </sheetViews>
  <sheetFormatPr defaultRowHeight="15" x14ac:dyDescent="0.25"/>
  <cols>
    <col min="5" max="5" width="16.28515625" bestFit="1" customWidth="1"/>
    <col min="6" max="6" width="27" bestFit="1" customWidth="1"/>
    <col min="7" max="7" width="16.42578125" bestFit="1" customWidth="1"/>
    <col min="8" max="8" width="16.7109375" bestFit="1" customWidth="1"/>
    <col min="9" max="9" width="14.85546875" bestFit="1" customWidth="1"/>
    <col min="10" max="10" width="28.7109375" bestFit="1" customWidth="1"/>
    <col min="11" max="11" width="55.85546875" bestFit="1" customWidth="1"/>
    <col min="12" max="12" width="54.5703125" bestFit="1" customWidth="1"/>
    <col min="13" max="13" width="30.5703125" bestFit="1" customWidth="1"/>
    <col min="14" max="14" width="34.140625" bestFit="1" customWidth="1"/>
  </cols>
  <sheetData>
    <row r="4" spans="6:12" x14ac:dyDescent="0.25">
      <c r="F4" t="s">
        <v>120</v>
      </c>
    </row>
    <row r="5" spans="6:12" x14ac:dyDescent="0.25">
      <c r="F5" t="s">
        <v>128</v>
      </c>
      <c r="K5" t="s">
        <v>139</v>
      </c>
    </row>
    <row r="6" spans="6:12" x14ac:dyDescent="0.25">
      <c r="F6" t="s">
        <v>121</v>
      </c>
      <c r="K6" t="s">
        <v>140</v>
      </c>
      <c r="L6" t="s">
        <v>141</v>
      </c>
    </row>
    <row r="7" spans="6:12" x14ac:dyDescent="0.25">
      <c r="F7" t="s">
        <v>122</v>
      </c>
    </row>
    <row r="8" spans="6:12" x14ac:dyDescent="0.25">
      <c r="F8" t="s">
        <v>123</v>
      </c>
      <c r="G8">
        <v>330.4</v>
      </c>
    </row>
    <row r="9" spans="6:12" x14ac:dyDescent="0.25">
      <c r="F9" t="s">
        <v>124</v>
      </c>
      <c r="G9" s="35">
        <v>0.505</v>
      </c>
    </row>
    <row r="10" spans="6:12" x14ac:dyDescent="0.25">
      <c r="F10" t="s">
        <v>125</v>
      </c>
      <c r="G10">
        <f>(G8*G9)/(1-G9)</f>
        <v>337.07474747474748</v>
      </c>
    </row>
    <row r="13" spans="6:12" x14ac:dyDescent="0.25">
      <c r="F13" t="s">
        <v>111</v>
      </c>
      <c r="G13">
        <v>156</v>
      </c>
      <c r="H13">
        <v>0.9</v>
      </c>
    </row>
    <row r="17" spans="5:15" x14ac:dyDescent="0.25">
      <c r="E17" s="2" t="s">
        <v>116</v>
      </c>
      <c r="F17" s="2" t="s">
        <v>133</v>
      </c>
      <c r="G17" s="2" t="s">
        <v>132</v>
      </c>
      <c r="H17" s="2" t="s">
        <v>119</v>
      </c>
      <c r="K17" s="2" t="s">
        <v>135</v>
      </c>
      <c r="L17" s="2" t="s">
        <v>144</v>
      </c>
      <c r="M17" s="2" t="s">
        <v>147</v>
      </c>
    </row>
    <row r="18" spans="5:15" x14ac:dyDescent="0.25">
      <c r="E18" s="3">
        <v>0.3</v>
      </c>
      <c r="F18" s="35">
        <f>E18+SUMPRODUCT(H29:H33,I29:I33)</f>
        <v>0.52500000000000002</v>
      </c>
      <c r="G18" s="35">
        <f>1-F18</f>
        <v>0.47499999999999998</v>
      </c>
      <c r="H18">
        <v>120</v>
      </c>
      <c r="K18" s="4">
        <f>(H25*(1-E18)/(1-(1-E18)))</f>
        <v>1756.5333333333328</v>
      </c>
      <c r="L18" s="35">
        <v>-4.4999999999999998E-2</v>
      </c>
      <c r="M18">
        <f>SUM(F43:T43)</f>
        <v>-37.434019177216676</v>
      </c>
    </row>
    <row r="20" spans="5:15" x14ac:dyDescent="0.25">
      <c r="F20" s="2" t="s">
        <v>103</v>
      </c>
    </row>
    <row r="21" spans="5:15" x14ac:dyDescent="0.25">
      <c r="F21" t="s">
        <v>104</v>
      </c>
      <c r="G21" t="s">
        <v>105</v>
      </c>
      <c r="H21" t="s">
        <v>118</v>
      </c>
    </row>
    <row r="22" spans="5:15" x14ac:dyDescent="0.25">
      <c r="F22" t="s">
        <v>131</v>
      </c>
      <c r="G22">
        <v>258</v>
      </c>
      <c r="H22">
        <v>1.6</v>
      </c>
    </row>
    <row r="23" spans="5:15" x14ac:dyDescent="0.25">
      <c r="F23" t="s">
        <v>110</v>
      </c>
      <c r="G23">
        <v>8</v>
      </c>
      <c r="H23">
        <v>23</v>
      </c>
    </row>
    <row r="24" spans="5:15" x14ac:dyDescent="0.25">
      <c r="F24" t="s">
        <v>109</v>
      </c>
      <c r="G24">
        <v>4</v>
      </c>
      <c r="H24">
        <v>9</v>
      </c>
    </row>
    <row r="25" spans="5:15" x14ac:dyDescent="0.25">
      <c r="F25" t="s">
        <v>117</v>
      </c>
      <c r="H25">
        <f>SUMPRODUCT(G22:G24,H22:H24)+H18</f>
        <v>752.8</v>
      </c>
    </row>
    <row r="27" spans="5:15" x14ac:dyDescent="0.25">
      <c r="F27" s="2" t="s">
        <v>107</v>
      </c>
    </row>
    <row r="28" spans="5:15" x14ac:dyDescent="0.25">
      <c r="F28" t="s">
        <v>108</v>
      </c>
      <c r="G28" t="s">
        <v>106</v>
      </c>
      <c r="H28" t="s">
        <v>115</v>
      </c>
      <c r="I28" s="2" t="s">
        <v>129</v>
      </c>
      <c r="J28" t="s">
        <v>136</v>
      </c>
      <c r="K28" s="2" t="s">
        <v>126</v>
      </c>
      <c r="L28" s="2" t="s">
        <v>130</v>
      </c>
      <c r="M28" s="2" t="s">
        <v>134</v>
      </c>
      <c r="N28" s="2" t="s">
        <v>138</v>
      </c>
      <c r="O28" s="2"/>
    </row>
    <row r="29" spans="5:15" x14ac:dyDescent="0.25">
      <c r="F29" t="s">
        <v>112</v>
      </c>
      <c r="G29">
        <v>33</v>
      </c>
      <c r="H29" s="35">
        <v>1.2500000000000001E-2</v>
      </c>
      <c r="I29">
        <v>12</v>
      </c>
      <c r="J29">
        <f>IFERROR(G29*I29,"")</f>
        <v>396</v>
      </c>
      <c r="K29" s="4">
        <f>($H$25*($G$18)/(1-($G$18)))</f>
        <v>681.10476190476186</v>
      </c>
      <c r="L29" s="4">
        <f>IFERROR(($K$18-K29)/SUM(I29:I33),"")</f>
        <v>71.695238095238068</v>
      </c>
      <c r="M29" s="4">
        <f>K18-K29</f>
        <v>1075.4285714285711</v>
      </c>
      <c r="N29">
        <f>IFERROR(M29/J35,"")</f>
        <v>1.4513206092153457</v>
      </c>
    </row>
    <row r="30" spans="5:15" x14ac:dyDescent="0.25">
      <c r="F30" t="s">
        <v>113</v>
      </c>
      <c r="G30">
        <v>115</v>
      </c>
      <c r="H30" s="35">
        <v>2.5000000000000001E-2</v>
      </c>
      <c r="I30">
        <v>3</v>
      </c>
      <c r="J30">
        <f t="shared" ref="J30:J33" si="0">IFERROR(G30*I30,"")</f>
        <v>345</v>
      </c>
      <c r="K30" s="4"/>
      <c r="L30" s="4"/>
    </row>
    <row r="31" spans="5:15" x14ac:dyDescent="0.25">
      <c r="F31" t="s">
        <v>114</v>
      </c>
      <c r="G31">
        <v>260</v>
      </c>
      <c r="H31" s="35">
        <v>7.4999999999999997E-2</v>
      </c>
      <c r="I31">
        <v>0</v>
      </c>
      <c r="J31">
        <f t="shared" si="0"/>
        <v>0</v>
      </c>
      <c r="K31" s="4"/>
      <c r="L31" s="4"/>
    </row>
    <row r="32" spans="5:15" x14ac:dyDescent="0.25">
      <c r="E32" t="s">
        <v>127</v>
      </c>
      <c r="F32" t="s">
        <v>148</v>
      </c>
      <c r="G32">
        <v>840</v>
      </c>
      <c r="H32" s="3">
        <v>0.1</v>
      </c>
      <c r="I32">
        <v>0</v>
      </c>
      <c r="J32">
        <f t="shared" si="0"/>
        <v>0</v>
      </c>
      <c r="K32" s="4"/>
      <c r="L32" s="4"/>
    </row>
    <row r="33" spans="5:20" x14ac:dyDescent="0.25">
      <c r="F33" t="s">
        <v>149</v>
      </c>
      <c r="G33">
        <v>1465</v>
      </c>
      <c r="H33" s="3">
        <v>0.1</v>
      </c>
      <c r="I33">
        <v>0</v>
      </c>
      <c r="J33">
        <f t="shared" si="0"/>
        <v>0</v>
      </c>
      <c r="K33" s="4"/>
      <c r="L33" s="4"/>
    </row>
    <row r="34" spans="5:20" x14ac:dyDescent="0.25">
      <c r="L34" s="4"/>
    </row>
    <row r="35" spans="5:20" x14ac:dyDescent="0.25">
      <c r="F35" t="s">
        <v>137</v>
      </c>
      <c r="J35">
        <f>SUM(J29:J34)</f>
        <v>741</v>
      </c>
    </row>
    <row r="39" spans="5:20" x14ac:dyDescent="0.25">
      <c r="F39" s="35"/>
    </row>
    <row r="40" spans="5:20" x14ac:dyDescent="0.25">
      <c r="E40" s="2" t="s">
        <v>146</v>
      </c>
      <c r="F40">
        <v>1</v>
      </c>
      <c r="G40">
        <v>2</v>
      </c>
      <c r="H40">
        <v>3</v>
      </c>
      <c r="I40">
        <v>4</v>
      </c>
      <c r="J40">
        <v>5</v>
      </c>
      <c r="K40">
        <v>6</v>
      </c>
      <c r="L40">
        <v>7</v>
      </c>
      <c r="M40">
        <v>8</v>
      </c>
      <c r="N40">
        <v>9</v>
      </c>
      <c r="O40">
        <v>10</v>
      </c>
      <c r="P40">
        <v>11</v>
      </c>
      <c r="Q40">
        <v>12</v>
      </c>
      <c r="R40">
        <v>13</v>
      </c>
      <c r="S40">
        <v>14</v>
      </c>
      <c r="T40">
        <v>15</v>
      </c>
    </row>
    <row r="41" spans="5:20" x14ac:dyDescent="0.25">
      <c r="E41" t="s">
        <v>145</v>
      </c>
      <c r="F41" s="35">
        <f>L18</f>
        <v>-4.4999999999999998E-2</v>
      </c>
      <c r="G41" s="35">
        <f>F41+$F$41</f>
        <v>-0.09</v>
      </c>
      <c r="H41" s="35">
        <f>G41+$F$41</f>
        <v>-0.13500000000000001</v>
      </c>
      <c r="I41" s="35">
        <f>H41+$F$41</f>
        <v>-0.18</v>
      </c>
      <c r="J41" s="35">
        <f>I41+$F$41</f>
        <v>-0.22499999999999998</v>
      </c>
      <c r="K41" s="35">
        <f>J41+$F$41</f>
        <v>-0.26999999999999996</v>
      </c>
      <c r="L41" s="35">
        <f>K41+$F$41</f>
        <v>-0.31499999999999995</v>
      </c>
      <c r="M41" s="35">
        <f>L41+$F$41</f>
        <v>-0.35999999999999993</v>
      </c>
      <c r="N41" s="35">
        <f>M41+$F$41</f>
        <v>-0.40499999999999992</v>
      </c>
      <c r="O41" s="35">
        <f>N41+$F$41</f>
        <v>-0.4499999999999999</v>
      </c>
      <c r="P41" s="35">
        <f>O41+$F$41</f>
        <v>-0.49499999999999988</v>
      </c>
      <c r="Q41" s="35">
        <f>P41+$F$41</f>
        <v>-0.53999999999999992</v>
      </c>
      <c r="R41" s="35">
        <f>Q41+$F$41</f>
        <v>-0.58499999999999996</v>
      </c>
      <c r="S41" s="35">
        <f>R41+$F$41</f>
        <v>-0.63</v>
      </c>
      <c r="T41" s="35">
        <f>S41+$F$41</f>
        <v>-0.67500000000000004</v>
      </c>
    </row>
    <row r="42" spans="5:20" x14ac:dyDescent="0.25">
      <c r="E42" t="s">
        <v>142</v>
      </c>
      <c r="F42" s="35">
        <f>F41</f>
        <v>-4.4999999999999998E-2</v>
      </c>
      <c r="G42" s="38">
        <f>-F42*G41</f>
        <v>-4.0499999999999998E-3</v>
      </c>
      <c r="H42" s="38">
        <f t="shared" ref="H42:T42" si="1">-G42*H41</f>
        <v>-5.4675000000000004E-4</v>
      </c>
      <c r="I42" s="38">
        <f t="shared" si="1"/>
        <v>-9.8414999999999999E-5</v>
      </c>
      <c r="J42" s="38">
        <f t="shared" si="1"/>
        <v>-2.2143374999999997E-5</v>
      </c>
      <c r="K42" s="38">
        <f t="shared" si="1"/>
        <v>-5.9787112499999983E-6</v>
      </c>
      <c r="L42" s="38">
        <f t="shared" si="1"/>
        <v>-1.8832940437499991E-6</v>
      </c>
      <c r="M42" s="38">
        <f t="shared" si="1"/>
        <v>-6.7798585574999955E-7</v>
      </c>
      <c r="N42" s="38">
        <f t="shared" si="1"/>
        <v>-2.7458427157874976E-7</v>
      </c>
      <c r="O42" s="38">
        <f t="shared" si="1"/>
        <v>-1.2356292221043736E-7</v>
      </c>
      <c r="P42" s="38">
        <f t="shared" si="1"/>
        <v>-6.1163646494166477E-8</v>
      </c>
      <c r="Q42" s="38">
        <f t="shared" si="1"/>
        <v>-3.3028369106849896E-8</v>
      </c>
      <c r="R42" s="38">
        <f t="shared" si="1"/>
        <v>-1.9321595927507188E-8</v>
      </c>
      <c r="S42" s="38">
        <f t="shared" si="1"/>
        <v>-1.2172605434329528E-8</v>
      </c>
      <c r="T42" s="38">
        <f t="shared" si="1"/>
        <v>-8.2165086681724316E-9</v>
      </c>
    </row>
    <row r="43" spans="5:20" x14ac:dyDescent="0.25">
      <c r="E43" t="s">
        <v>143</v>
      </c>
      <c r="F43">
        <f>$H$25*F42</f>
        <v>-33.875999999999998</v>
      </c>
      <c r="G43">
        <f t="shared" ref="G43:T43" si="2">$H$25*G42</f>
        <v>-3.0488399999999998</v>
      </c>
      <c r="H43">
        <f t="shared" si="2"/>
        <v>-0.4115934</v>
      </c>
      <c r="I43">
        <f t="shared" si="2"/>
        <v>-7.4086811999999988E-2</v>
      </c>
      <c r="J43">
        <f t="shared" si="2"/>
        <v>-1.6669532699999996E-2</v>
      </c>
      <c r="K43">
        <f t="shared" si="2"/>
        <v>-4.5007738289999984E-3</v>
      </c>
      <c r="L43">
        <f t="shared" si="2"/>
        <v>-1.4177437561349992E-3</v>
      </c>
      <c r="M43">
        <f t="shared" si="2"/>
        <v>-5.1038775220859961E-4</v>
      </c>
      <c r="N43">
        <f t="shared" si="2"/>
        <v>-2.067070396444828E-4</v>
      </c>
      <c r="O43">
        <f t="shared" si="2"/>
        <v>-9.301816784001723E-5</v>
      </c>
      <c r="P43">
        <f t="shared" si="2"/>
        <v>-4.6043993080808518E-5</v>
      </c>
      <c r="Q43">
        <f t="shared" si="2"/>
        <v>-2.48637562636366E-5</v>
      </c>
      <c r="R43">
        <f t="shared" si="2"/>
        <v>-1.454529741422741E-5</v>
      </c>
      <c r="S43">
        <f t="shared" si="2"/>
        <v>-9.163537370963269E-6</v>
      </c>
      <c r="T43">
        <f t="shared" si="2"/>
        <v>-6.1853877254002065E-6</v>
      </c>
    </row>
    <row r="46" spans="5:20" x14ac:dyDescent="0.25">
      <c r="E46" s="2"/>
    </row>
    <row r="47" spans="5:20" x14ac:dyDescent="0.25"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</row>
    <row r="48" spans="5:20" x14ac:dyDescent="0.25">
      <c r="F48" s="35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vals</vt:lpstr>
      <vt:lpstr>ingredient table</vt:lpstr>
      <vt:lpstr>profit calc buy inputs</vt:lpstr>
      <vt:lpstr>profit calc produce inputs</vt:lpstr>
      <vt:lpstr>mari's battle item chest arb</vt:lpstr>
      <vt:lpstr>enhancing additional mats worth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2022-04-01T22:07:57Z</dcterms:modified>
</cp:coreProperties>
</file>