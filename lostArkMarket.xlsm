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Programming\Personal\gameTools\"/>
    </mc:Choice>
  </mc:AlternateContent>
  <xr:revisionPtr revIDLastSave="0" documentId="13_ncr:1_{E2F5A086-347A-427A-8DBF-DBA06795D437}" xr6:coauthVersionLast="47" xr6:coauthVersionMax="47" xr10:uidLastSave="{00000000-0000-0000-0000-000000000000}"/>
  <bookViews>
    <workbookView xWindow="29190" yWindow="390" windowWidth="21600" windowHeight="11295" activeTab="3" xr2:uid="{00000000-000D-0000-FFFF-FFFF00000000}"/>
  </bookViews>
  <sheets>
    <sheet name="vals" sheetId="1" r:id="rId1"/>
    <sheet name="ingredient table" sheetId="4" r:id="rId2"/>
    <sheet name="profit calc buy inputs" sheetId="5" r:id="rId3"/>
    <sheet name="profit calc produce inputs" sheetId="8" r:id="rId4"/>
  </sheets>
  <definedNames>
    <definedName name="itemNames">vals!$A$8:$A$200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44" i="8" l="1"/>
  <c r="G35" i="8"/>
  <c r="F35" i="8"/>
  <c r="M15" i="8"/>
  <c r="J15" i="5"/>
  <c r="N10" i="8"/>
  <c r="K10" i="5"/>
  <c r="H20" i="8"/>
  <c r="G20" i="8"/>
  <c r="I20" i="8" s="1"/>
  <c r="M20" i="8"/>
  <c r="G20" i="5"/>
  <c r="I20" i="5" s="1"/>
  <c r="H20" i="5"/>
  <c r="J20" i="5"/>
  <c r="M22" i="8"/>
  <c r="I22" i="8"/>
  <c r="M21" i="8"/>
  <c r="I21" i="8"/>
  <c r="M19" i="8"/>
  <c r="H19" i="8"/>
  <c r="G19" i="8"/>
  <c r="J19" i="8" s="1"/>
  <c r="K19" i="8" s="1"/>
  <c r="M18" i="8"/>
  <c r="H18" i="8"/>
  <c r="G18" i="8"/>
  <c r="I18" i="8" s="1"/>
  <c r="M17" i="8"/>
  <c r="H17" i="8"/>
  <c r="G17" i="8"/>
  <c r="I17" i="8" s="1"/>
  <c r="M16" i="8"/>
  <c r="H16" i="8"/>
  <c r="G16" i="8"/>
  <c r="I16" i="8" s="1"/>
  <c r="R15" i="8"/>
  <c r="Q15" i="8"/>
  <c r="H15" i="8"/>
  <c r="G15" i="8"/>
  <c r="I15" i="8" s="1"/>
  <c r="O15" i="5"/>
  <c r="N15" i="5"/>
  <c r="G15" i="5"/>
  <c r="I15" i="5" s="1"/>
  <c r="H19" i="5"/>
  <c r="H18" i="5"/>
  <c r="H17" i="5"/>
  <c r="H16" i="5"/>
  <c r="H15" i="5"/>
  <c r="G19" i="5"/>
  <c r="I19" i="5" s="1"/>
  <c r="G18" i="5"/>
  <c r="I18" i="5" s="1"/>
  <c r="G17" i="5"/>
  <c r="I17" i="5" s="1"/>
  <c r="G16" i="5"/>
  <c r="I16" i="5" s="1"/>
  <c r="C17" i="1"/>
  <c r="C9" i="1"/>
  <c r="C10" i="1"/>
  <c r="C11" i="1"/>
  <c r="C12" i="1"/>
  <c r="C13" i="1"/>
  <c r="C14" i="1"/>
  <c r="C15" i="1"/>
  <c r="C16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8" i="1"/>
  <c r="J23" i="5"/>
  <c r="I23" i="5"/>
  <c r="J22" i="5"/>
  <c r="I22" i="5"/>
  <c r="J21" i="5"/>
  <c r="I21" i="5"/>
  <c r="J19" i="5"/>
  <c r="J18" i="5"/>
  <c r="J17" i="5"/>
  <c r="J16" i="5"/>
  <c r="K15" i="5" l="1"/>
  <c r="N15" i="8"/>
  <c r="S15" i="5"/>
  <c r="V15" i="8"/>
  <c r="J20" i="8"/>
  <c r="J17" i="8"/>
  <c r="J16" i="8"/>
  <c r="J18" i="8"/>
  <c r="I19" i="8"/>
  <c r="J15" i="8"/>
  <c r="M15" i="5"/>
  <c r="P15" i="5" s="1"/>
  <c r="R15" i="5" s="1"/>
  <c r="K18" i="8" l="1"/>
  <c r="L18" i="8" s="1"/>
  <c r="K16" i="8"/>
  <c r="L16" i="8" s="1"/>
  <c r="K17" i="8"/>
  <c r="L17" i="8" s="1"/>
  <c r="K15" i="8"/>
  <c r="L15" i="8" s="1"/>
  <c r="K20" i="8"/>
  <c r="L20" i="8" s="1"/>
  <c r="O15" i="8"/>
  <c r="L19" i="8"/>
  <c r="L15" i="5"/>
  <c r="Q15" i="5" s="1"/>
  <c r="P15" i="8" l="1"/>
  <c r="S15" i="8" s="1"/>
  <c r="U15" i="8" s="1"/>
  <c r="T15" i="8" l="1"/>
</calcChain>
</file>

<file path=xl/sharedStrings.xml><?xml version="1.0" encoding="utf-8"?>
<sst xmlns="http://schemas.openxmlformats.org/spreadsheetml/2006/main" count="189" uniqueCount="96">
  <si>
    <t>Item Name</t>
  </si>
  <si>
    <t>Category</t>
  </si>
  <si>
    <t>Last updated</t>
  </si>
  <si>
    <t>iron ore</t>
  </si>
  <si>
    <t>characteristics</t>
  </si>
  <si>
    <t>input name</t>
  </si>
  <si>
    <t>output name</t>
  </si>
  <si>
    <t>input quantity</t>
  </si>
  <si>
    <t>output product</t>
  </si>
  <si>
    <t xml:space="preserve">name 1 </t>
  </si>
  <si>
    <t>quantity 1</t>
  </si>
  <si>
    <t>name 2</t>
  </si>
  <si>
    <t>quantity 2</t>
  </si>
  <si>
    <t>name 3</t>
  </si>
  <si>
    <t>quantity 3</t>
  </si>
  <si>
    <t>name 4</t>
  </si>
  <si>
    <t>quantity 4</t>
  </si>
  <si>
    <t>name 5</t>
  </si>
  <si>
    <t>quantity 5</t>
  </si>
  <si>
    <t>Loop through Excel drop down list and copy/paste the value - Excel General - OzGrid Free Excel/VBA Help Forum</t>
  </si>
  <si>
    <t>How to Automatically Update Current Timestamp When another Cell Is Changed - Free Excel Tutorial (excelhow.net)</t>
  </si>
  <si>
    <t>Manufacturing Profit</t>
  </si>
  <si>
    <t>after-tax income from selling at market price</t>
  </si>
  <si>
    <t>run macro:
ctrl + m
or, developer &gt; macros &gt; buyInputs &gt; run</t>
  </si>
  <si>
    <t>foraging</t>
  </si>
  <si>
    <t>wild flower</t>
  </si>
  <si>
    <t>units/bundle</t>
  </si>
  <si>
    <t>price/unit</t>
  </si>
  <si>
    <t>crude mushroom</t>
  </si>
  <si>
    <t>bright wild flower</t>
  </si>
  <si>
    <t>exquisite mushroom</t>
  </si>
  <si>
    <t>shy wild flower</t>
  </si>
  <si>
    <t>fresh mushroom</t>
  </si>
  <si>
    <t>logging</t>
  </si>
  <si>
    <t>timber</t>
  </si>
  <si>
    <t>sturdy timber</t>
  </si>
  <si>
    <t>tender timber</t>
  </si>
  <si>
    <t>mining</t>
  </si>
  <si>
    <t>strong iron ore</t>
  </si>
  <si>
    <t>heavy iron ore</t>
  </si>
  <si>
    <t>thick raw meat</t>
  </si>
  <si>
    <t>hunting</t>
  </si>
  <si>
    <t>oreha thick meat</t>
  </si>
  <si>
    <t>caldarr thick raw meat</t>
  </si>
  <si>
    <t>hunting crystal</t>
  </si>
  <si>
    <t>tough leather</t>
  </si>
  <si>
    <t>treated meat</t>
  </si>
  <si>
    <t>fish</t>
  </si>
  <si>
    <t>fishing</t>
  </si>
  <si>
    <t>oreha solar carp</t>
  </si>
  <si>
    <t>caldarr solar carp</t>
  </si>
  <si>
    <t>fishing crystal</t>
  </si>
  <si>
    <t>natural pearl</t>
  </si>
  <si>
    <t>redflesh fish</t>
  </si>
  <si>
    <t>excavation</t>
  </si>
  <si>
    <t>ancient relic</t>
  </si>
  <si>
    <t>rare relic</t>
  </si>
  <si>
    <t>oreha relic</t>
  </si>
  <si>
    <t>excavating crystal</t>
  </si>
  <si>
    <t>caldarr relic</t>
  </si>
  <si>
    <t>output quantity</t>
  </si>
  <si>
    <t>price/bundle</t>
  </si>
  <si>
    <t>gold prod. Cost</t>
  </si>
  <si>
    <t>manufacturing profit/unit</t>
  </si>
  <si>
    <t>market input price/unit</t>
  </si>
  <si>
    <t>market output price/unit</t>
  </si>
  <si>
    <t>after-tax market output price/unit</t>
  </si>
  <si>
    <t>cost of production materials/batch</t>
  </si>
  <si>
    <t>output quantity/batch</t>
  </si>
  <si>
    <t>gold cost of production/batch</t>
  </si>
  <si>
    <t>expected absolute tax/unit</t>
  </si>
  <si>
    <t>tax rate = 5%</t>
  </si>
  <si>
    <t>current pre-tax market price</t>
  </si>
  <si>
    <t>manufacturing cost/unit</t>
  </si>
  <si>
    <t>market input tax/unit</t>
  </si>
  <si>
    <t>market input tax/batch</t>
  </si>
  <si>
    <t>market after-tax input price/unit</t>
  </si>
  <si>
    <t>Cost/unit</t>
  </si>
  <si>
    <t>cost/unit</t>
  </si>
  <si>
    <t>hp potion</t>
  </si>
  <si>
    <t>major hp potion</t>
  </si>
  <si>
    <t>elemental hp potion</t>
  </si>
  <si>
    <t>destruction bomb</t>
  </si>
  <si>
    <t>whirlwind grenade</t>
  </si>
  <si>
    <t>name 6</t>
  </si>
  <si>
    <t>name 7</t>
  </si>
  <si>
    <t>expert butter steak meal</t>
  </si>
  <si>
    <t>units/batch</t>
  </si>
  <si>
    <t>Implied pre-tax breakeven/bundle</t>
  </si>
  <si>
    <t>run macro:
ctrl + p
or, developer &gt; macros &gt; produceInputs &gt; run</t>
  </si>
  <si>
    <t>artisans garlic steak meal</t>
  </si>
  <si>
    <t>intuition: input prices are opportunity cost of just selling mats on the market</t>
  </si>
  <si>
    <t>flare</t>
  </si>
  <si>
    <t>units/market bundle</t>
  </si>
  <si>
    <t>manufacturing profit/bundle</t>
  </si>
  <si>
    <t>Manufacturing Profit/bundle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</si>
</sst>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,\ hh:mm:ss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/>
      <top/>
      <bottom style="thin">
        <color theme="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7">
    <xf numFmtId="0" fontId="0" fillId="0" borderId="0" xfId="0"/>
    <xf numFmtId="22" fontId="0" fillId="0" borderId="0" xfId="0" applyNumberFormat="1"/>
    <xf numFmtId="0" fontId="2" fillId="0" borderId="0" xfId="0" applyFont="1"/>
    <xf numFmtId="9" fontId="0" fillId="0" borderId="0" xfId="0" applyNumberFormat="1"/>
    <xf numFmtId="4" fontId="0" fillId="0" borderId="0" xfId="0" applyNumberFormat="1"/>
    <xf numFmtId="0" fontId="0" fillId="0" borderId="0" xfId="0" applyNumberFormat="1"/>
    <xf numFmtId="0" fontId="2" fillId="3" borderId="0" xfId="0" applyFont="1" applyFill="1"/>
    <xf numFmtId="0" fontId="2" fillId="4" borderId="0" xfId="0" applyFont="1" applyFill="1"/>
    <xf numFmtId="0" fontId="2" fillId="5" borderId="0" xfId="0" applyFont="1" applyFill="1"/>
    <xf numFmtId="0" fontId="2" fillId="6" borderId="0" xfId="0" applyFont="1" applyFill="1"/>
    <xf numFmtId="0" fontId="3" fillId="0" borderId="0" xfId="1"/>
    <xf numFmtId="0" fontId="1" fillId="2" borderId="1" xfId="0" applyFont="1" applyFill="1" applyBorder="1"/>
    <xf numFmtId="0" fontId="1" fillId="2" borderId="2" xfId="0" applyFont="1" applyFill="1" applyBorder="1"/>
    <xf numFmtId="0" fontId="2" fillId="7" borderId="0" xfId="0" applyFont="1" applyFill="1"/>
    <xf numFmtId="0" fontId="0" fillId="8" borderId="0" xfId="0" applyFill="1"/>
    <xf numFmtId="164" fontId="0" fillId="8" borderId="0" xfId="0" applyNumberFormat="1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22" fontId="0" fillId="12" borderId="0" xfId="0" applyNumberFormat="1" applyFill="1"/>
    <xf numFmtId="164" fontId="0" fillId="11" borderId="0" xfId="0" applyNumberFormat="1" applyFill="1"/>
    <xf numFmtId="164" fontId="0" fillId="10" borderId="0" xfId="0" applyNumberFormat="1" applyFill="1"/>
    <xf numFmtId="3" fontId="0" fillId="0" borderId="0" xfId="0" applyNumberFormat="1"/>
    <xf numFmtId="164" fontId="2" fillId="0" borderId="0" xfId="0" applyNumberFormat="1" applyFont="1"/>
    <xf numFmtId="4" fontId="0" fillId="8" borderId="0" xfId="0" applyNumberFormat="1" applyFill="1"/>
    <xf numFmtId="4" fontId="0" fillId="9" borderId="0" xfId="0" applyNumberFormat="1" applyFill="1"/>
    <xf numFmtId="4" fontId="0" fillId="10" borderId="0" xfId="0" applyNumberFormat="1" applyFill="1"/>
    <xf numFmtId="4" fontId="0" fillId="11" borderId="0" xfId="0" applyNumberFormat="1" applyFill="1"/>
    <xf numFmtId="4" fontId="0" fillId="12" borderId="0" xfId="0" applyNumberFormat="1" applyFill="1"/>
    <xf numFmtId="164" fontId="0" fillId="9" borderId="0" xfId="0" applyNumberFormat="1" applyFill="1"/>
    <xf numFmtId="0" fontId="0" fillId="13" borderId="0" xfId="0" applyFill="1"/>
    <xf numFmtId="0" fontId="1" fillId="2" borderId="3" xfId="0" applyFont="1" applyFill="1" applyBorder="1"/>
    <xf numFmtId="0" fontId="2" fillId="8" borderId="0" xfId="0" applyFont="1" applyFill="1"/>
    <xf numFmtId="0" fontId="0" fillId="3" borderId="0" xfId="0" applyFill="1" applyAlignment="1">
      <alignment horizontal="left" vertical="top" wrapText="1"/>
    </xf>
    <xf numFmtId="0" fontId="0" fillId="3" borderId="0" xfId="0" applyFill="1" applyAlignment="1">
      <alignment horizontal="left" vertical="top"/>
    </xf>
    <xf numFmtId="4" fontId="0" fillId="13" borderId="0" xfId="0" applyNumberFormat="1" applyFill="1"/>
  </cellXfs>
  <cellStyles count="2">
    <cellStyle name="Hyperlink" xfId="1" builtinId="8"/>
    <cellStyle name="Normal" xfId="0" builtinId="0"/>
  </cellStyles>
  <dxfs count="34">
    <dxf>
      <numFmt numFmtId="4" formatCode="#,##0.00"/>
    </dxf>
    <dxf>
      <numFmt numFmtId="4" formatCode="#,##0.00"/>
    </dxf>
    <dxf>
      <numFmt numFmtId="4" formatCode="#,##0.0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ill>
        <patternFill>
          <bgColor theme="9"/>
        </patternFill>
      </fill>
    </dxf>
    <dxf>
      <fill>
        <patternFill>
          <bgColor theme="1" tint="0.34998626667073579"/>
        </patternFill>
      </fill>
    </dxf>
    <dxf>
      <fill>
        <patternFill>
          <bgColor theme="8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7280AC4-A237-468B-B74F-2CE9C052ED05}" name="Table1" displayName="Table1" ref="A7:G200" totalsRowShown="0" headerRowDxfId="26">
  <autoFilter ref="A7:G200" xr:uid="{B7280AC4-A237-468B-B74F-2CE9C052ED05}"/>
  <sortState xmlns:xlrd2="http://schemas.microsoft.com/office/spreadsheetml/2017/richdata2" ref="A8:G80">
    <sortCondition ref="B7:B200"/>
  </sortState>
  <tableColumns count="7">
    <tableColumn id="1" xr3:uid="{02511A4C-907E-4265-B002-8CD8853B0324}" name="Item Name"/>
    <tableColumn id="2" xr3:uid="{0549DBE8-F7D3-440F-B1BD-FA4872F0E32A}" name="Category"/>
    <tableColumn id="3" xr3:uid="{8D9FD4F1-4DD1-4BCE-8C4D-5050F8C21EB5}" name="price/unit"/>
    <tableColumn id="8" xr3:uid="{A56E9AB9-C6ED-4A88-8713-06A8CECEA756}" name="units/bundle"/>
    <tableColumn id="7" xr3:uid="{B2FC3B57-7C1E-4DB0-AA07-5E5D4DD535C6}" name="price/bundle"/>
    <tableColumn id="4" xr3:uid="{654E8DE7-5892-474D-B7A6-BFA7B421CDE7}" name="Last updated"/>
    <tableColumn id="5" xr3:uid="{E36CBE27-3EA9-47C4-930A-30BD24D16782}" name="characteristics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F0016A1-758D-45C4-91BF-873B558EE650}" name="Table2" displayName="Table2" ref="D12:R200" totalsRowShown="0">
  <autoFilter ref="D12:R200" xr:uid="{9F0016A1-758D-45C4-91BF-873B558EE650}"/>
  <tableColumns count="15">
    <tableColumn id="13" xr3:uid="{9EA41AA3-7E6A-4A68-B504-6E8650E953CF}" name="output product"/>
    <tableColumn id="12" xr3:uid="{AB431177-A4AC-4552-B0C4-456E55E03958}" name="output quantity"/>
    <tableColumn id="1" xr3:uid="{449A2660-1790-4BD4-ACAD-3E0C7D2E61A6}" name="gold prod. Cost"/>
    <tableColumn id="2" xr3:uid="{07C51DC1-2436-4688-A20D-64EA38DFFD4C}" name="name 1 "/>
    <tableColumn id="3" xr3:uid="{5B5D0FB5-C99A-4D88-9493-0BD0A3B8593F}" name="quantity 1"/>
    <tableColumn id="4" xr3:uid="{40FA93CE-66DB-4345-A4C4-84C9289AD731}" name="name 2"/>
    <tableColumn id="5" xr3:uid="{1FA7106D-B263-4332-8F58-633D2F987351}" name="quantity 2"/>
    <tableColumn id="6" xr3:uid="{59081585-469D-4C63-9AE0-6DF15864AFDF}" name="name 3"/>
    <tableColumn id="7" xr3:uid="{50E63EFE-2F74-4BDE-A277-766680F862B7}" name="quantity 3"/>
    <tableColumn id="8" xr3:uid="{98D557C0-06EA-4AC1-98DC-218943EA9926}" name="name 4"/>
    <tableColumn id="9" xr3:uid="{92271F20-05D4-4F32-9EFB-EC03A811A024}" name="quantity 4"/>
    <tableColumn id="10" xr3:uid="{989E88E5-3E61-4089-887A-C283A85B4486}" name="name 5"/>
    <tableColumn id="15" xr3:uid="{D1C35057-FE0B-405F-AE53-E85C22798F7C}" name="quantity 5"/>
    <tableColumn id="14" xr3:uid="{016C52B4-08FD-4298-BF28-CFA3204DE920}" name="name 6"/>
    <tableColumn id="11" xr3:uid="{2A58B4BA-73C1-4845-8314-CCF591839AE4}" name="name 7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BEC4EF6-847E-467F-8FD6-735E97739E52}" name="Table134" displayName="Table134" ref="F14:S20" totalsRowShown="0" headerRowDxfId="25">
  <autoFilter ref="F14:S20" xr:uid="{B211B308-D116-40B4-BC69-DB7F5617B2F3}"/>
  <tableColumns count="14">
    <tableColumn id="1" xr3:uid="{B98CF6CE-FD5D-4F37-9E3F-C57ABFC24F71}" name="output name"/>
    <tableColumn id="2" xr3:uid="{7B09EA4C-40BB-48C3-943F-71EF8CF565D7}" name="input name" dataDxfId="24">
      <calculatedColumnFormula>IFERROR(VLOOKUP($F$15,'ingredient table'!$D$13:$R$267,4,FALSE),"")</calculatedColumnFormula>
    </tableColumn>
    <tableColumn id="3" xr3:uid="{9CE0BC4B-00A3-4550-B86E-244440FBD0B1}" name="input quantity">
      <calculatedColumnFormula>IFERROR(VLOOKUP($F$15,'ingredient table'!$D$13:$R$267,3,FALSE),"")</calculatedColumnFormula>
    </tableColumn>
    <tableColumn id="4" xr3:uid="{FDB85396-D278-4144-BA78-1EA731756E1E}" name="market input price/unit" dataDxfId="23">
      <calculatedColumnFormula>IFERROR(VLOOKUP($G15,vals!$A$8:$G$200,3,FALSE),"")</calculatedColumnFormula>
    </tableColumn>
    <tableColumn id="5" xr3:uid="{35E14541-1607-4A67-847B-85E87247BA7A}" name="market output price/unit" dataDxfId="22">
      <calculatedColumnFormula>IFERROR(VLOOKUP($F15,vals!$A$8:$G$200,3,FALSE),"")</calculatedColumnFormula>
    </tableColumn>
    <tableColumn id="14" xr3:uid="{5D2EF7CA-246E-42DD-9EA6-57193343362E}" name="expected absolute tax/unit"/>
    <tableColumn id="12" xr3:uid="{7264620B-2DFB-45BC-B71F-8D2E840D461B}" name="after-tax market output price/unit"/>
    <tableColumn id="6" xr3:uid="{9A18F587-16DF-4409-B48B-673FBDFC39CC}" name="cost of production materials/batch" dataDxfId="21">
      <calculatedColumnFormula>SUMPRODUCT(H15:H20,I15:I20)/(1-#REF!)</calculatedColumnFormula>
    </tableColumn>
    <tableColumn id="13" xr3:uid="{F93CE615-F778-4DA0-937F-2382EE904EEF}" name="gold cost of production/batch"/>
    <tableColumn id="9" xr3:uid="{A4DD0FE0-2ADF-4BF9-912F-8779D36A0631}" name="output quantity/batch"/>
    <tableColumn id="16" xr3:uid="{C76C6F17-C1FB-46B6-8C3C-76C4FDDEBE66}" name="manufacturing cost/unit"/>
    <tableColumn id="7" xr3:uid="{CC4660E4-5569-4E0D-9CE9-307695D2B77A}" name="manufacturing profit/unit" dataDxfId="20">
      <calculatedColumnFormula>Table134[[#This Row],[market output price/unit]]-Table134[[#This Row],[cost of production materials/batch]]</calculatedColumnFormula>
    </tableColumn>
    <tableColumn id="11" xr3:uid="{7B8047AA-437A-4821-A32F-46E5B4D602C8}" name="Implied pre-tax breakeven/bundle"/>
    <tableColumn id="10" xr3:uid="{62CB0614-F222-4C80-853A-3694909BFE9F}" name="current pre-tax market price" dataDxfId="19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CFA7573-579A-467F-914D-B4AB53B6BB19}" name="Table5" displayName="Table5" ref="A1:D1048576" totalsRowShown="0" headerRowDxfId="18" headerRowBorderDxfId="17" tableBorderDxfId="16">
  <autoFilter ref="A1:D1048576" xr:uid="{5CFA7573-579A-467F-914D-B4AB53B6BB19}"/>
  <sortState xmlns:xlrd2="http://schemas.microsoft.com/office/spreadsheetml/2017/richdata2" ref="A2:D201">
    <sortCondition descending="1" ref="D1:D1048576"/>
  </sortState>
  <tableColumns count="4">
    <tableColumn id="1" xr3:uid="{3B4B9EF1-B019-4AA7-8583-8085AC7104A1}" name="Item Name"/>
    <tableColumn id="4" xr3:uid="{8DFE263E-D6FB-4853-BC67-0A591BA0763F}" name="cost/unit" dataDxfId="15"/>
    <tableColumn id="3" xr3:uid="{A2B9C0C5-2B74-47D3-9056-C58C90DF65C7}" name="Manufacturing Profit" dataDxfId="14"/>
    <tableColumn id="2" xr3:uid="{3AB33DA5-36C9-4E74-BB07-406CF16B5994}" name="Implied pre-tax breakeven/bundle" dataDxfId="13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BBDB85E-6BE7-491C-A2FD-ABA564C0EACA}" name="Table1348" displayName="Table1348" ref="F14:V20" totalsRowShown="0" headerRowDxfId="12">
  <autoFilter ref="F14:V20" xr:uid="{B211B308-D116-40B4-BC69-DB7F5617B2F3}"/>
  <tableColumns count="17">
    <tableColumn id="1" xr3:uid="{3EE6918B-38BF-4442-B236-78C47E9231A4}" name="output name"/>
    <tableColumn id="2" xr3:uid="{067820BD-F379-4F8B-A121-3163D5E1A9B3}" name="input name" dataDxfId="11">
      <calculatedColumnFormula>IFERROR(VLOOKUP($F$15,'ingredient table'!$D$13:$R$267,4,FALSE),"")</calculatedColumnFormula>
    </tableColumn>
    <tableColumn id="3" xr3:uid="{DC1164EF-35F2-448D-B104-8741D1A58A2A}" name="input quantity">
      <calculatedColumnFormula>IFERROR(VLOOKUP($F$15,'ingredient table'!$D$13:$R$267,3,FALSE),"")</calculatedColumnFormula>
    </tableColumn>
    <tableColumn id="4" xr3:uid="{11A90EFF-F3AA-4DAF-9D4B-F214B39D0EAB}" name="market input price/unit" dataDxfId="10">
      <calculatedColumnFormula>IFERROR(VLOOKUP($G15,vals!$A$8:$G$200,3,FALSE),"")</calculatedColumnFormula>
    </tableColumn>
    <tableColumn id="8" xr3:uid="{32A5F295-0E4E-410D-ABD7-2A791DC68C8C}" name="market input tax/batch">
      <calculatedColumnFormula>IFERROR(MAX(1,_xlfn.CEILING.MATH(IFERROR(VLOOKUP(G15,vals!$A$8:$G$200,5,FALSE),"")*$N$13)),"")</calculatedColumnFormula>
    </tableColumn>
    <tableColumn id="15" xr3:uid="{FBB1163F-7EE0-4DA6-9C71-94B4F800F063}" name="market input tax/unit">
      <calculatedColumnFormula>IFERROR(J15/VLOOKUP($G15,vals!$A$8:$G$200,4,FALSE),"")</calculatedColumnFormula>
    </tableColumn>
    <tableColumn id="17" xr3:uid="{28AF19E1-979A-4679-9DBD-FD6C316837F8}" name="market after-tax input price/unit">
      <calculatedColumnFormula>IFERROR(I15-K15,"")</calculatedColumnFormula>
    </tableColumn>
    <tableColumn id="5" xr3:uid="{8A9E2A9D-7B80-4F5D-BCDA-077DF664AD14}" name="market output price/unit" dataDxfId="9">
      <calculatedColumnFormula>IFERROR(VLOOKUP($F15,vals!$A$8:$G$200,3,FALSE),"")</calculatedColumnFormula>
    </tableColumn>
    <tableColumn id="14" xr3:uid="{281C137F-974D-49F6-BC31-E92B89437AC2}" name="expected absolute tax/unit"/>
    <tableColumn id="12" xr3:uid="{8B0B2B87-FDBB-4DA0-8E65-05F584E991B6}" name="after-tax market output price/unit"/>
    <tableColumn id="6" xr3:uid="{4E688196-74C4-454A-A958-4DD475F18675}" name="cost of production materials/batch" dataDxfId="8">
      <calculatedColumnFormula>SUMPRODUCT(H15:H20,I15:I20)/(1-#REF!)</calculatedColumnFormula>
    </tableColumn>
    <tableColumn id="13" xr3:uid="{7DB3E7AE-7E1B-433A-9BDB-80C56115F2C5}" name="gold cost of production/batch"/>
    <tableColumn id="9" xr3:uid="{4C36C648-7FBF-4C42-81B8-3C3509C8373D}" name="output quantity/batch"/>
    <tableColumn id="16" xr3:uid="{5562D00D-AD52-4C73-B521-ED2F05E38669}" name="manufacturing cost/unit"/>
    <tableColumn id="7" xr3:uid="{8AB79E82-5154-4D4B-B824-239C5053CFC2}" name="manufacturing profit/bundle" dataDxfId="7">
      <calculatedColumnFormula>Table1348[[#This Row],[market output price/unit]]-Table1348[[#This Row],[cost of production materials/batch]]</calculatedColumnFormula>
    </tableColumn>
    <tableColumn id="11" xr3:uid="{02525738-0E06-4F94-BF52-554F83F6D566}" name="Implied pre-tax breakeven/bundle"/>
    <tableColumn id="10" xr3:uid="{06B50909-1328-4DCD-B83D-5B8038ECEC13}" name="current pre-tax market price" dataDxfId="6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7AB546F-5C2C-410A-92B6-DBE4D2A9BF4D}" name="Table59" displayName="Table59" ref="A1:D1048576" totalsRowShown="0" headerRowDxfId="5" headerRowBorderDxfId="4" tableBorderDxfId="3">
  <autoFilter ref="A1:D1048576" xr:uid="{5CFA7573-579A-467F-914D-B4AB53B6BB19}"/>
  <sortState xmlns:xlrd2="http://schemas.microsoft.com/office/spreadsheetml/2017/richdata2" ref="A2:D201">
    <sortCondition descending="1" ref="D1:D1048576"/>
  </sortState>
  <tableColumns count="4">
    <tableColumn id="1" xr3:uid="{FF7BDA34-1E2E-45B0-A45A-583B6F027BE2}" name="Item Name"/>
    <tableColumn id="4" xr3:uid="{E9396155-8ED7-49A6-B90B-625C9A156157}" name="Cost/unit" dataDxfId="2"/>
    <tableColumn id="3" xr3:uid="{52DF98A1-EC7B-4ED4-8270-3C55D6CB569B}" name="Manufacturing Profit/bundle" dataDxfId="1"/>
    <tableColumn id="2" xr3:uid="{13CB3E25-B351-4569-9C01-DCA64D0428EE}" name="Implied pre-tax breakeven/bundle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excelhow.net/how-to-automatically-update-current-timestamp-when-another-cell-is-changed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hyperlink" Target="https://www.ozgrid.com/forum/index.php?thread/134028-loop-through-excel-drop-down-list-and-copy-paste-the-value/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hyperlink" Target="https://www.ozgrid.com/forum/index.php?thread/134028-loop-through-excel-drop-down-list-and-copy-paste-the-valu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5:M79"/>
  <sheetViews>
    <sheetView topLeftCell="A13" workbookViewId="0">
      <selection activeCell="K37" sqref="K37"/>
    </sheetView>
  </sheetViews>
  <sheetFormatPr defaultRowHeight="15" x14ac:dyDescent="0.25"/>
  <cols>
    <col min="1" max="1" width="23.42578125" bestFit="1" customWidth="1"/>
    <col min="2" max="2" width="11" customWidth="1"/>
    <col min="3" max="3" width="19.140625" bestFit="1" customWidth="1"/>
    <col min="4" max="5" width="17.7109375" customWidth="1"/>
    <col min="6" max="6" width="19.140625" bestFit="1" customWidth="1"/>
    <col min="7" max="7" width="15.7109375" customWidth="1"/>
  </cols>
  <sheetData>
    <row r="5" spans="1:7" x14ac:dyDescent="0.25">
      <c r="F5" s="10" t="s">
        <v>20</v>
      </c>
    </row>
    <row r="7" spans="1:7" x14ac:dyDescent="0.25">
      <c r="A7" s="2" t="s">
        <v>0</v>
      </c>
      <c r="B7" s="2" t="s">
        <v>1</v>
      </c>
      <c r="C7" s="2" t="s">
        <v>27</v>
      </c>
      <c r="D7" s="24" t="s">
        <v>26</v>
      </c>
      <c r="E7" s="2" t="s">
        <v>61</v>
      </c>
      <c r="F7" s="2" t="s">
        <v>2</v>
      </c>
      <c r="G7" s="2" t="s">
        <v>4</v>
      </c>
    </row>
    <row r="8" spans="1:7" x14ac:dyDescent="0.25">
      <c r="A8" s="14" t="s">
        <v>25</v>
      </c>
      <c r="B8" s="14" t="s">
        <v>24</v>
      </c>
      <c r="C8" s="25">
        <f>IFERROR(Table1[[#This Row],[price/bundle]]/Table1[[#This Row],[units/bundle]],"")</f>
        <v>1.22</v>
      </c>
      <c r="D8" s="25">
        <v>100</v>
      </c>
      <c r="E8" s="14">
        <v>122</v>
      </c>
      <c r="F8" s="15">
        <v>44632.013703703706</v>
      </c>
      <c r="G8" s="14"/>
    </row>
    <row r="9" spans="1:7" x14ac:dyDescent="0.25">
      <c r="A9" s="14" t="s">
        <v>28</v>
      </c>
      <c r="B9" s="14" t="s">
        <v>24</v>
      </c>
      <c r="C9" s="25">
        <f>IFERROR(Table1[[#This Row],[price/bundle]]/Table1[[#This Row],[units/bundle]],"")</f>
        <v>0.35</v>
      </c>
      <c r="D9" s="25">
        <v>100</v>
      </c>
      <c r="E9" s="14">
        <v>35</v>
      </c>
      <c r="F9" s="15">
        <v>44632.01425925926</v>
      </c>
      <c r="G9" s="14"/>
    </row>
    <row r="10" spans="1:7" x14ac:dyDescent="0.25">
      <c r="A10" s="14" t="s">
        <v>29</v>
      </c>
      <c r="B10" s="14" t="s">
        <v>24</v>
      </c>
      <c r="C10" s="25">
        <f>IFERROR(Table1[[#This Row],[price/bundle]]/Table1[[#This Row],[units/bundle]],"")</f>
        <v>1.1000000000000001</v>
      </c>
      <c r="D10" s="25">
        <v>10</v>
      </c>
      <c r="E10" s="14">
        <v>11</v>
      </c>
      <c r="F10" s="15">
        <v>44632.014803240738</v>
      </c>
      <c r="G10" s="14"/>
    </row>
    <row r="11" spans="1:7" x14ac:dyDescent="0.25">
      <c r="A11" s="14" t="s">
        <v>30</v>
      </c>
      <c r="B11" s="14" t="s">
        <v>24</v>
      </c>
      <c r="C11" s="25">
        <f>IFERROR(Table1[[#This Row],[price/bundle]]/Table1[[#This Row],[units/bundle]],"")</f>
        <v>1</v>
      </c>
      <c r="D11" s="25">
        <v>10</v>
      </c>
      <c r="E11" s="14">
        <v>10</v>
      </c>
      <c r="F11" s="15">
        <v>44632.015023148146</v>
      </c>
      <c r="G11" s="14"/>
    </row>
    <row r="12" spans="1:7" x14ac:dyDescent="0.25">
      <c r="A12" s="14" t="s">
        <v>31</v>
      </c>
      <c r="B12" s="14" t="s">
        <v>24</v>
      </c>
      <c r="C12" s="25">
        <f>IFERROR(Table1[[#This Row],[price/bundle]]/Table1[[#This Row],[units/bundle]],"")</f>
        <v>1</v>
      </c>
      <c r="D12" s="25">
        <v>10</v>
      </c>
      <c r="E12" s="14">
        <v>10</v>
      </c>
      <c r="F12" s="15">
        <v>44632.015150462961</v>
      </c>
      <c r="G12" s="14"/>
    </row>
    <row r="13" spans="1:7" x14ac:dyDescent="0.25">
      <c r="A13" s="14" t="s">
        <v>32</v>
      </c>
      <c r="B13" s="14" t="s">
        <v>24</v>
      </c>
      <c r="C13" s="25">
        <f>IFERROR(Table1[[#This Row],[price/bundle]]/Table1[[#This Row],[units/bundle]],"")</f>
        <v>0.7</v>
      </c>
      <c r="D13" s="25">
        <v>10</v>
      </c>
      <c r="E13" s="14">
        <v>7</v>
      </c>
      <c r="F13" s="15">
        <v>44632.015243055554</v>
      </c>
      <c r="G13" s="14"/>
    </row>
    <row r="14" spans="1:7" x14ac:dyDescent="0.25">
      <c r="A14" s="14" t="s">
        <v>34</v>
      </c>
      <c r="B14" s="14" t="s">
        <v>33</v>
      </c>
      <c r="C14" s="25">
        <f>IFERROR(Table1[[#This Row],[price/bundle]]/Table1[[#This Row],[units/bundle]],"")</f>
        <v>0.54</v>
      </c>
      <c r="D14" s="25">
        <v>100</v>
      </c>
      <c r="E14" s="14">
        <v>54</v>
      </c>
      <c r="F14" s="15">
        <v>44632.015636574077</v>
      </c>
      <c r="G14" s="14"/>
    </row>
    <row r="15" spans="1:7" x14ac:dyDescent="0.25">
      <c r="A15" s="14" t="s">
        <v>35</v>
      </c>
      <c r="B15" s="14" t="s">
        <v>33</v>
      </c>
      <c r="C15" s="25">
        <f>IFERROR(Table1[[#This Row],[price/bundle]]/Table1[[#This Row],[units/bundle]],"")</f>
        <v>5</v>
      </c>
      <c r="D15" s="25">
        <v>10</v>
      </c>
      <c r="E15" s="14">
        <v>50</v>
      </c>
      <c r="F15" s="15">
        <v>44632.015787037039</v>
      </c>
      <c r="G15" s="14"/>
    </row>
    <row r="16" spans="1:7" x14ac:dyDescent="0.25">
      <c r="A16" s="14" t="s">
        <v>36</v>
      </c>
      <c r="B16" s="14" t="s">
        <v>33</v>
      </c>
      <c r="C16" s="25">
        <f>IFERROR(Table1[[#This Row],[price/bundle]]/Table1[[#This Row],[units/bundle]],"")</f>
        <v>1</v>
      </c>
      <c r="D16" s="25">
        <v>10</v>
      </c>
      <c r="E16" s="14">
        <v>10</v>
      </c>
      <c r="F16" s="15">
        <v>44632.0159375</v>
      </c>
      <c r="G16" s="14"/>
    </row>
    <row r="17" spans="1:13" x14ac:dyDescent="0.25">
      <c r="A17" s="14" t="s">
        <v>3</v>
      </c>
      <c r="B17" s="14" t="s">
        <v>37</v>
      </c>
      <c r="C17" s="25">
        <f>IFERROR(Table1[[#This Row],[price/bundle]]/Table1[[#This Row],[units/bundle]],"")</f>
        <v>0.43</v>
      </c>
      <c r="D17" s="25">
        <v>100</v>
      </c>
      <c r="E17" s="14">
        <v>43</v>
      </c>
      <c r="F17" s="15">
        <v>44632.016122685185</v>
      </c>
      <c r="G17" s="14"/>
    </row>
    <row r="18" spans="1:13" x14ac:dyDescent="0.25">
      <c r="A18" s="14" t="s">
        <v>38</v>
      </c>
      <c r="B18" s="14" t="s">
        <v>37</v>
      </c>
      <c r="C18" s="25">
        <f>IFERROR(Table1[[#This Row],[price/bundle]]/Table1[[#This Row],[units/bundle]],"")</f>
        <v>3.9</v>
      </c>
      <c r="D18" s="25">
        <v>10</v>
      </c>
      <c r="E18" s="14">
        <v>39</v>
      </c>
      <c r="F18" s="15">
        <v>44632.016284722224</v>
      </c>
      <c r="G18" s="14"/>
    </row>
    <row r="19" spans="1:13" x14ac:dyDescent="0.25">
      <c r="A19" s="14" t="s">
        <v>39</v>
      </c>
      <c r="B19" s="14" t="s">
        <v>37</v>
      </c>
      <c r="C19" s="25">
        <f>IFERROR(Table1[[#This Row],[price/bundle]]/Table1[[#This Row],[units/bundle]],"")</f>
        <v>0.8</v>
      </c>
      <c r="D19" s="25">
        <v>10</v>
      </c>
      <c r="E19" s="14">
        <v>8</v>
      </c>
      <c r="F19" s="15">
        <v>44632.016365740739</v>
      </c>
      <c r="G19" s="14"/>
    </row>
    <row r="20" spans="1:13" x14ac:dyDescent="0.25">
      <c r="A20" s="14" t="s">
        <v>40</v>
      </c>
      <c r="B20" s="14" t="s">
        <v>41</v>
      </c>
      <c r="C20" s="25">
        <f>IFERROR(Table1[[#This Row],[price/bundle]]/Table1[[#This Row],[units/bundle]],"")</f>
        <v>0.82</v>
      </c>
      <c r="D20" s="25">
        <v>100</v>
      </c>
      <c r="E20" s="14">
        <v>82</v>
      </c>
      <c r="F20" s="15">
        <v>44632.016562500001</v>
      </c>
      <c r="G20" s="14"/>
      <c r="M20" s="23"/>
    </row>
    <row r="21" spans="1:13" x14ac:dyDescent="0.25">
      <c r="A21" s="16" t="s">
        <v>42</v>
      </c>
      <c r="B21" s="16" t="s">
        <v>41</v>
      </c>
      <c r="C21" s="25">
        <f>IFERROR(Table1[[#This Row],[price/bundle]]/Table1[[#This Row],[units/bundle]],"")</f>
        <v>7.9</v>
      </c>
      <c r="D21" s="26">
        <v>10</v>
      </c>
      <c r="E21" s="16">
        <v>79</v>
      </c>
      <c r="F21" s="30">
        <v>44632.016689814816</v>
      </c>
      <c r="G21" s="16"/>
    </row>
    <row r="22" spans="1:13" x14ac:dyDescent="0.25">
      <c r="A22" s="16" t="s">
        <v>43</v>
      </c>
      <c r="B22" s="16" t="s">
        <v>41</v>
      </c>
      <c r="C22" s="25">
        <f>IFERROR(Table1[[#This Row],[price/bundle]]/Table1[[#This Row],[units/bundle]],"")</f>
        <v>7.7</v>
      </c>
      <c r="D22" s="26">
        <v>10</v>
      </c>
      <c r="E22" s="16">
        <v>77</v>
      </c>
      <c r="F22" s="30">
        <v>44632.016863425924</v>
      </c>
      <c r="G22" s="16"/>
    </row>
    <row r="23" spans="1:13" x14ac:dyDescent="0.25">
      <c r="A23" s="17" t="s">
        <v>44</v>
      </c>
      <c r="B23" s="17" t="s">
        <v>41</v>
      </c>
      <c r="C23" s="25">
        <f>IFERROR(Table1[[#This Row],[price/bundle]]/Table1[[#This Row],[units/bundle]],"")</f>
        <v>7.4</v>
      </c>
      <c r="D23" s="27">
        <v>10</v>
      </c>
      <c r="E23" s="17">
        <v>74</v>
      </c>
      <c r="F23" s="22">
        <v>44632.017002314817</v>
      </c>
      <c r="G23" s="17"/>
    </row>
    <row r="24" spans="1:13" x14ac:dyDescent="0.25">
      <c r="A24" s="17" t="s">
        <v>45</v>
      </c>
      <c r="B24" s="17" t="s">
        <v>41</v>
      </c>
      <c r="C24" s="25">
        <f>IFERROR(Table1[[#This Row],[price/bundle]]/Table1[[#This Row],[units/bundle]],"")</f>
        <v>1.2</v>
      </c>
      <c r="D24" s="27">
        <v>10</v>
      </c>
      <c r="E24" s="17">
        <v>12</v>
      </c>
      <c r="F24" s="22">
        <v>44632.017106481479</v>
      </c>
      <c r="G24" s="17"/>
    </row>
    <row r="25" spans="1:13" x14ac:dyDescent="0.25">
      <c r="A25" s="17" t="s">
        <v>46</v>
      </c>
      <c r="B25" s="17" t="s">
        <v>41</v>
      </c>
      <c r="C25" s="25">
        <f>IFERROR(Table1[[#This Row],[price/bundle]]/Table1[[#This Row],[units/bundle]],"")</f>
        <v>1.2</v>
      </c>
      <c r="D25" s="27">
        <v>10</v>
      </c>
      <c r="E25" s="17">
        <v>12</v>
      </c>
      <c r="F25" s="22">
        <v>44632.017187500001</v>
      </c>
      <c r="G25" s="17"/>
    </row>
    <row r="26" spans="1:13" x14ac:dyDescent="0.25">
      <c r="A26" s="17" t="s">
        <v>47</v>
      </c>
      <c r="B26" s="17" t="s">
        <v>48</v>
      </c>
      <c r="C26" s="25">
        <f>IFERROR(Table1[[#This Row],[price/bundle]]/Table1[[#This Row],[units/bundle]],"")</f>
        <v>0.98</v>
      </c>
      <c r="D26" s="27">
        <v>100</v>
      </c>
      <c r="E26" s="17">
        <v>98</v>
      </c>
      <c r="F26" s="22">
        <v>44632.017407407409</v>
      </c>
      <c r="G26" s="17"/>
    </row>
    <row r="27" spans="1:13" x14ac:dyDescent="0.25">
      <c r="A27" s="17" t="s">
        <v>49</v>
      </c>
      <c r="B27" s="17" t="s">
        <v>48</v>
      </c>
      <c r="C27" s="25">
        <f>IFERROR(Table1[[#This Row],[price/bundle]]/Table1[[#This Row],[units/bundle]],"")</f>
        <v>6.2</v>
      </c>
      <c r="D27" s="27">
        <v>10</v>
      </c>
      <c r="E27" s="17">
        <v>62</v>
      </c>
      <c r="F27" s="22">
        <v>44632.01761574074</v>
      </c>
      <c r="G27" s="17"/>
    </row>
    <row r="28" spans="1:13" x14ac:dyDescent="0.25">
      <c r="A28" s="18" t="s">
        <v>50</v>
      </c>
      <c r="B28" s="18" t="s">
        <v>48</v>
      </c>
      <c r="C28" s="25">
        <f>IFERROR(Table1[[#This Row],[price/bundle]]/Table1[[#This Row],[units/bundle]],"")</f>
        <v>5.9</v>
      </c>
      <c r="D28" s="28">
        <v>10</v>
      </c>
      <c r="E28" s="18">
        <v>59</v>
      </c>
      <c r="F28" s="21">
        <v>44632.017847222225</v>
      </c>
      <c r="G28" s="18"/>
    </row>
    <row r="29" spans="1:13" x14ac:dyDescent="0.25">
      <c r="A29" s="18" t="s">
        <v>51</v>
      </c>
      <c r="B29" s="18" t="s">
        <v>48</v>
      </c>
      <c r="C29" s="25">
        <f>IFERROR(Table1[[#This Row],[price/bundle]]/Table1[[#This Row],[units/bundle]],"")</f>
        <v>5.7</v>
      </c>
      <c r="D29" s="28">
        <v>10</v>
      </c>
      <c r="E29" s="18">
        <v>57</v>
      </c>
      <c r="F29" s="21">
        <v>44632.017962962964</v>
      </c>
      <c r="G29" s="18"/>
    </row>
    <row r="30" spans="1:13" x14ac:dyDescent="0.25">
      <c r="A30" s="18" t="s">
        <v>52</v>
      </c>
      <c r="B30" s="18" t="s">
        <v>48</v>
      </c>
      <c r="C30" s="25">
        <f>IFERROR(Table1[[#This Row],[price/bundle]]/Table1[[#This Row],[units/bundle]],"")</f>
        <v>1.2</v>
      </c>
      <c r="D30" s="28">
        <v>10</v>
      </c>
      <c r="E30" s="18">
        <v>12</v>
      </c>
      <c r="F30" s="21">
        <v>44632.018078703702</v>
      </c>
      <c r="G30" s="18"/>
    </row>
    <row r="31" spans="1:13" x14ac:dyDescent="0.25">
      <c r="A31" s="18" t="s">
        <v>53</v>
      </c>
      <c r="B31" s="18" t="s">
        <v>48</v>
      </c>
      <c r="C31" s="25">
        <f>IFERROR(Table1[[#This Row],[price/bundle]]/Table1[[#This Row],[units/bundle]],"")</f>
        <v>0.8</v>
      </c>
      <c r="D31" s="28">
        <v>10</v>
      </c>
      <c r="E31" s="18">
        <v>8</v>
      </c>
      <c r="F31" s="21">
        <v>44632.018182870372</v>
      </c>
      <c r="G31" s="18"/>
    </row>
    <row r="32" spans="1:13" x14ac:dyDescent="0.25">
      <c r="A32" s="18" t="s">
        <v>55</v>
      </c>
      <c r="B32" s="18" t="s">
        <v>54</v>
      </c>
      <c r="C32" s="25">
        <f>IFERROR(Table1[[#This Row],[price/bundle]]/Table1[[#This Row],[units/bundle]],"")</f>
        <v>1.1200000000000001</v>
      </c>
      <c r="D32" s="28">
        <v>100</v>
      </c>
      <c r="E32" s="18">
        <v>112</v>
      </c>
      <c r="F32" s="21">
        <v>44632.018472222226</v>
      </c>
      <c r="G32" s="18"/>
    </row>
    <row r="33" spans="1:7" x14ac:dyDescent="0.25">
      <c r="A33" s="18" t="s">
        <v>56</v>
      </c>
      <c r="B33" s="18" t="s">
        <v>54</v>
      </c>
      <c r="C33" s="25">
        <f>IFERROR(Table1[[#This Row],[price/bundle]]/Table1[[#This Row],[units/bundle]],"")</f>
        <v>3.1</v>
      </c>
      <c r="D33" s="28">
        <v>10</v>
      </c>
      <c r="E33" s="18">
        <v>31</v>
      </c>
      <c r="F33" s="21">
        <v>44632.018576388888</v>
      </c>
      <c r="G33" s="18"/>
    </row>
    <row r="34" spans="1:7" x14ac:dyDescent="0.25">
      <c r="A34" s="18" t="s">
        <v>57</v>
      </c>
      <c r="B34" s="18" t="s">
        <v>54</v>
      </c>
      <c r="C34" s="25">
        <f>IFERROR(Table1[[#This Row],[price/bundle]]/Table1[[#This Row],[units/bundle]],"")</f>
        <v>2.8</v>
      </c>
      <c r="D34" s="28">
        <v>10</v>
      </c>
      <c r="E34" s="18">
        <v>28</v>
      </c>
      <c r="F34" s="21">
        <v>44632.01866898148</v>
      </c>
      <c r="G34" s="18"/>
    </row>
    <row r="35" spans="1:7" x14ac:dyDescent="0.25">
      <c r="A35" s="18" t="s">
        <v>58</v>
      </c>
      <c r="B35" s="18" t="s">
        <v>54</v>
      </c>
      <c r="C35" s="25">
        <f>IFERROR(Table1[[#This Row],[price/bundle]]/Table1[[#This Row],[units/bundle]],"")</f>
        <v>2.7</v>
      </c>
      <c r="D35" s="28">
        <v>10</v>
      </c>
      <c r="E35" s="18">
        <v>27</v>
      </c>
      <c r="F35" s="21">
        <v>44632.018761574072</v>
      </c>
      <c r="G35" s="18"/>
    </row>
    <row r="36" spans="1:7" x14ac:dyDescent="0.25">
      <c r="A36" s="18" t="s">
        <v>59</v>
      </c>
      <c r="B36" s="18" t="s">
        <v>54</v>
      </c>
      <c r="C36" s="25">
        <f>IFERROR(Table1[[#This Row],[price/bundle]]/Table1[[#This Row],[units/bundle]],"")</f>
        <v>1</v>
      </c>
      <c r="D36" s="28">
        <v>10</v>
      </c>
      <c r="E36" s="18">
        <v>10</v>
      </c>
      <c r="F36" s="21">
        <v>44632.018888888888</v>
      </c>
      <c r="G36" s="18"/>
    </row>
    <row r="37" spans="1:7" x14ac:dyDescent="0.25">
      <c r="A37" s="18" t="s">
        <v>81</v>
      </c>
      <c r="B37" s="18"/>
      <c r="C37" s="25">
        <f>IFERROR(Table1[[#This Row],[price/bundle]]/Table1[[#This Row],[units/bundle]],"")</f>
        <v>39</v>
      </c>
      <c r="D37" s="28">
        <v>1</v>
      </c>
      <c r="E37" s="18">
        <v>39</v>
      </c>
      <c r="F37" s="21">
        <v>44632.029513888891</v>
      </c>
      <c r="G37" s="18"/>
    </row>
    <row r="38" spans="1:7" x14ac:dyDescent="0.25">
      <c r="A38" s="18" t="s">
        <v>83</v>
      </c>
      <c r="B38" s="18"/>
      <c r="C38" s="25">
        <f>IFERROR(Table1[[#This Row],[price/bundle]]/Table1[[#This Row],[units/bundle]],"")</f>
        <v>12</v>
      </c>
      <c r="D38" s="28">
        <v>1</v>
      </c>
      <c r="E38" s="18">
        <v>12</v>
      </c>
      <c r="F38" s="21">
        <v>44632.243263888886</v>
      </c>
      <c r="G38" s="18"/>
    </row>
    <row r="39" spans="1:7" x14ac:dyDescent="0.25">
      <c r="A39" s="18" t="s">
        <v>82</v>
      </c>
      <c r="B39" s="18"/>
      <c r="C39" s="25">
        <f>IFERROR(Table1[[#This Row],[price/bundle]]/Table1[[#This Row],[units/bundle]],"")</f>
        <v>19</v>
      </c>
      <c r="D39" s="28">
        <v>1</v>
      </c>
      <c r="E39" s="18">
        <v>19</v>
      </c>
      <c r="F39" s="21">
        <v>44632.243483796294</v>
      </c>
      <c r="G39" s="18"/>
    </row>
    <row r="40" spans="1:7" x14ac:dyDescent="0.25">
      <c r="A40" s="18" t="s">
        <v>86</v>
      </c>
      <c r="B40" s="18"/>
      <c r="C40" s="25">
        <f>IFERROR(Table1[[#This Row],[price/bundle]]/Table1[[#This Row],[units/bundle]],"")</f>
        <v>33.9</v>
      </c>
      <c r="D40" s="28">
        <v>10</v>
      </c>
      <c r="E40" s="18">
        <v>339</v>
      </c>
      <c r="F40" s="21">
        <v>44632.248738425929</v>
      </c>
      <c r="G40" s="18"/>
    </row>
    <row r="41" spans="1:7" x14ac:dyDescent="0.25">
      <c r="A41" s="18" t="s">
        <v>90</v>
      </c>
      <c r="B41" s="18"/>
      <c r="C41" s="25">
        <f>IFERROR(Table1[[#This Row],[price/bundle]]/Table1[[#This Row],[units/bundle]],"")</f>
        <v>8.1</v>
      </c>
      <c r="D41" s="28">
        <v>10</v>
      </c>
      <c r="E41" s="18">
        <v>81</v>
      </c>
      <c r="F41" s="21">
        <v>44632.285671296297</v>
      </c>
      <c r="G41" s="18"/>
    </row>
    <row r="42" spans="1:7" x14ac:dyDescent="0.25">
      <c r="A42" s="18" t="s">
        <v>92</v>
      </c>
      <c r="B42" s="18"/>
      <c r="C42" s="25">
        <f>IFERROR(Table1[[#This Row],[price/bundle]]/Table1[[#This Row],[units/bundle]],"")</f>
        <v>24</v>
      </c>
      <c r="D42" s="28">
        <v>1</v>
      </c>
      <c r="E42" s="18">
        <v>24</v>
      </c>
      <c r="F42" s="21">
        <v>44632.323287037034</v>
      </c>
      <c r="G42" s="18"/>
    </row>
    <row r="43" spans="1:7" x14ac:dyDescent="0.25">
      <c r="A43" s="18"/>
      <c r="B43" s="18"/>
      <c r="C43" s="25" t="str">
        <f>IFERROR(Table1[[#This Row],[price/bundle]]/Table1[[#This Row],[units/bundle]],"")</f>
        <v/>
      </c>
      <c r="D43" s="28"/>
      <c r="E43" s="18"/>
      <c r="F43" s="21">
        <v>44603.003449074073</v>
      </c>
      <c r="G43" s="18"/>
    </row>
    <row r="44" spans="1:7" x14ac:dyDescent="0.25">
      <c r="A44" s="18"/>
      <c r="B44" s="18"/>
      <c r="C44" s="25" t="str">
        <f>IFERROR(Table1[[#This Row],[price/bundle]]/Table1[[#This Row],[units/bundle]],"")</f>
        <v/>
      </c>
      <c r="D44" s="28"/>
      <c r="E44" s="18"/>
      <c r="F44" s="21">
        <v>44603.003449074073</v>
      </c>
      <c r="G44" s="18"/>
    </row>
    <row r="45" spans="1:7" x14ac:dyDescent="0.25">
      <c r="A45" s="18"/>
      <c r="B45" s="18"/>
      <c r="C45" s="25" t="str">
        <f>IFERROR(Table1[[#This Row],[price/bundle]]/Table1[[#This Row],[units/bundle]],"")</f>
        <v/>
      </c>
      <c r="D45" s="28"/>
      <c r="E45" s="18"/>
      <c r="F45" s="21">
        <v>44603.003449074073</v>
      </c>
      <c r="G45" s="18"/>
    </row>
    <row r="46" spans="1:7" x14ac:dyDescent="0.25">
      <c r="A46" s="18"/>
      <c r="B46" s="18"/>
      <c r="C46" s="25" t="str">
        <f>IFERROR(Table1[[#This Row],[price/bundle]]/Table1[[#This Row],[units/bundle]],"")</f>
        <v/>
      </c>
      <c r="D46" s="28"/>
      <c r="E46" s="18"/>
      <c r="F46" s="21">
        <v>44603.003449074073</v>
      </c>
      <c r="G46" s="18"/>
    </row>
    <row r="47" spans="1:7" x14ac:dyDescent="0.25">
      <c r="A47" s="19"/>
      <c r="B47" s="19"/>
      <c r="C47" s="25" t="str">
        <f>IFERROR(Table1[[#This Row],[price/bundle]]/Table1[[#This Row],[units/bundle]],"")</f>
        <v/>
      </c>
      <c r="D47" s="29"/>
      <c r="E47" s="19"/>
      <c r="F47" s="20"/>
      <c r="G47" s="19"/>
    </row>
    <row r="48" spans="1:7" x14ac:dyDescent="0.25">
      <c r="A48" s="19"/>
      <c r="B48" s="19"/>
      <c r="C48" s="25" t="str">
        <f>IFERROR(Table1[[#This Row],[price/bundle]]/Table1[[#This Row],[units/bundle]],"")</f>
        <v/>
      </c>
      <c r="D48" s="29"/>
      <c r="E48" s="19"/>
      <c r="F48" s="20"/>
      <c r="G48" s="19"/>
    </row>
    <row r="49" spans="1:7" x14ac:dyDescent="0.25">
      <c r="A49" s="19"/>
      <c r="B49" s="19"/>
      <c r="C49" s="25" t="str">
        <f>IFERROR(Table1[[#This Row],[price/bundle]]/Table1[[#This Row],[units/bundle]],"")</f>
        <v/>
      </c>
      <c r="D49" s="29"/>
      <c r="E49" s="19"/>
      <c r="F49" s="20"/>
      <c r="G49" s="19"/>
    </row>
    <row r="50" spans="1:7" x14ac:dyDescent="0.25">
      <c r="A50" s="19"/>
      <c r="B50" s="19"/>
      <c r="C50" s="25" t="str">
        <f>IFERROR(Table1[[#This Row],[price/bundle]]/Table1[[#This Row],[units/bundle]],"")</f>
        <v/>
      </c>
      <c r="D50" s="29"/>
      <c r="E50" s="19"/>
      <c r="F50" s="20"/>
      <c r="G50" s="19"/>
    </row>
    <row r="51" spans="1:7" x14ac:dyDescent="0.25">
      <c r="F51" s="1"/>
    </row>
    <row r="52" spans="1:7" x14ac:dyDescent="0.25">
      <c r="F52" s="1"/>
    </row>
    <row r="53" spans="1:7" x14ac:dyDescent="0.25">
      <c r="F53" s="1"/>
    </row>
    <row r="54" spans="1:7" x14ac:dyDescent="0.25">
      <c r="F54" s="1"/>
    </row>
    <row r="55" spans="1:7" x14ac:dyDescent="0.25">
      <c r="F55" s="1"/>
    </row>
    <row r="56" spans="1:7" x14ac:dyDescent="0.25">
      <c r="F56" s="1"/>
    </row>
    <row r="57" spans="1:7" x14ac:dyDescent="0.25">
      <c r="F57" s="1"/>
    </row>
    <row r="58" spans="1:7" x14ac:dyDescent="0.25">
      <c r="F58" s="1"/>
    </row>
    <row r="59" spans="1:7" x14ac:dyDescent="0.25">
      <c r="F59" s="1"/>
    </row>
    <row r="60" spans="1:7" x14ac:dyDescent="0.25">
      <c r="F60" s="1"/>
    </row>
    <row r="61" spans="1:7" x14ac:dyDescent="0.25">
      <c r="F61" s="1"/>
    </row>
    <row r="62" spans="1:7" x14ac:dyDescent="0.25">
      <c r="F62" s="1"/>
    </row>
    <row r="63" spans="1:7" x14ac:dyDescent="0.25">
      <c r="F63" s="1"/>
    </row>
    <row r="64" spans="1:7" x14ac:dyDescent="0.25">
      <c r="F64" s="1"/>
    </row>
    <row r="65" spans="6:6" x14ac:dyDescent="0.25">
      <c r="F65" s="1"/>
    </row>
    <row r="66" spans="6:6" x14ac:dyDescent="0.25">
      <c r="F66" s="1"/>
    </row>
    <row r="67" spans="6:6" x14ac:dyDescent="0.25">
      <c r="F67" s="1"/>
    </row>
    <row r="68" spans="6:6" x14ac:dyDescent="0.25">
      <c r="F68" s="1"/>
    </row>
    <row r="69" spans="6:6" x14ac:dyDescent="0.25">
      <c r="F69" s="1"/>
    </row>
    <row r="70" spans="6:6" x14ac:dyDescent="0.25">
      <c r="F70" s="1"/>
    </row>
    <row r="71" spans="6:6" x14ac:dyDescent="0.25">
      <c r="F71" s="1"/>
    </row>
    <row r="72" spans="6:6" x14ac:dyDescent="0.25">
      <c r="F72" s="1"/>
    </row>
    <row r="73" spans="6:6" x14ac:dyDescent="0.25">
      <c r="F73" s="1"/>
    </row>
    <row r="74" spans="6:6" x14ac:dyDescent="0.25">
      <c r="F74" s="1"/>
    </row>
    <row r="75" spans="6:6" x14ac:dyDescent="0.25">
      <c r="F75" s="1"/>
    </row>
    <row r="76" spans="6:6" x14ac:dyDescent="0.25">
      <c r="F76" s="1"/>
    </row>
    <row r="77" spans="6:6" x14ac:dyDescent="0.25">
      <c r="F77" s="1"/>
    </row>
    <row r="78" spans="6:6" x14ac:dyDescent="0.25">
      <c r="F78" s="1"/>
    </row>
    <row r="79" spans="6:6" x14ac:dyDescent="0.25">
      <c r="F79" s="1"/>
    </row>
  </sheetData>
  <conditionalFormatting sqref="A8:G200">
    <cfRule type="expression" dxfId="33" priority="1">
      <formula>$B8=""</formula>
    </cfRule>
    <cfRule type="expression" dxfId="32" priority="2">
      <formula>$B8="excavation"</formula>
    </cfRule>
    <cfRule type="expression" dxfId="31" priority="3">
      <formula>$B8="hunting"</formula>
    </cfRule>
    <cfRule type="expression" dxfId="30" priority="4">
      <formula>$B8="logging"</formula>
    </cfRule>
    <cfRule type="expression" dxfId="29" priority="5">
      <formula>$B8="fishing"</formula>
    </cfRule>
    <cfRule type="expression" dxfId="28" priority="6">
      <formula>$B8="mining"</formula>
    </cfRule>
    <cfRule type="expression" dxfId="27" priority="7">
      <formula>$B8="foraging"</formula>
    </cfRule>
  </conditionalFormatting>
  <hyperlinks>
    <hyperlink ref="F5" r:id="rId1" display="https://www.excelhow.net/how-to-automatically-update-current-timestamp-when-another-cell-is-changed.html" xr:uid="{34AAE91F-C899-463A-8521-692B7A5CE2E7}"/>
  </hyperlinks>
  <pageMargins left="0.7" right="0.7" top="0.75" bottom="0.75" header="0.3" footer="0.3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CBFE6-ECEB-48D2-AE10-16437C04A65C}">
  <sheetPr codeName="Sheet3"/>
  <dimension ref="D12:R20"/>
  <sheetViews>
    <sheetView topLeftCell="A7" workbookViewId="0">
      <selection activeCell="E21" sqref="E21"/>
    </sheetView>
  </sheetViews>
  <sheetFormatPr defaultRowHeight="15" x14ac:dyDescent="0.25"/>
  <cols>
    <col min="4" max="4" width="23.28515625" bestFit="1" customWidth="1"/>
    <col min="5" max="6" width="18.28515625" customWidth="1"/>
    <col min="7" max="7" width="19.5703125" bestFit="1" customWidth="1"/>
    <col min="8" max="8" width="12" customWidth="1"/>
    <col min="9" max="9" width="15.7109375" bestFit="1" customWidth="1"/>
    <col min="10" max="10" width="12" customWidth="1"/>
    <col min="11" max="11" width="13.85546875" bestFit="1" customWidth="1"/>
    <col min="12" max="12" width="12" customWidth="1"/>
    <col min="13" max="13" width="16.140625" bestFit="1" customWidth="1"/>
    <col min="14" max="14" width="12" customWidth="1"/>
    <col min="15" max="15" width="10.5703125" bestFit="1" customWidth="1"/>
    <col min="16" max="16" width="12.140625" bestFit="1" customWidth="1"/>
    <col min="17" max="17" width="10.5703125" customWidth="1"/>
    <col min="18" max="18" width="12" customWidth="1"/>
  </cols>
  <sheetData>
    <row r="12" spans="4:18" x14ac:dyDescent="0.25">
      <c r="D12" s="2" t="s">
        <v>8</v>
      </c>
      <c r="E12" s="2" t="s">
        <v>60</v>
      </c>
      <c r="F12" s="2" t="s">
        <v>62</v>
      </c>
      <c r="G12" s="7" t="s">
        <v>9</v>
      </c>
      <c r="H12" s="7" t="s">
        <v>10</v>
      </c>
      <c r="I12" s="8" t="s">
        <v>11</v>
      </c>
      <c r="J12" s="8" t="s">
        <v>12</v>
      </c>
      <c r="K12" s="13" t="s">
        <v>13</v>
      </c>
      <c r="L12" s="13" t="s">
        <v>14</v>
      </c>
      <c r="M12" s="9" t="s">
        <v>15</v>
      </c>
      <c r="N12" s="9" t="s">
        <v>16</v>
      </c>
      <c r="O12" s="6" t="s">
        <v>17</v>
      </c>
      <c r="P12" s="6" t="s">
        <v>18</v>
      </c>
      <c r="Q12" s="33" t="s">
        <v>84</v>
      </c>
      <c r="R12" s="14" t="s">
        <v>85</v>
      </c>
    </row>
    <row r="13" spans="4:18" x14ac:dyDescent="0.25">
      <c r="D13" t="s">
        <v>79</v>
      </c>
      <c r="E13">
        <v>3</v>
      </c>
      <c r="F13">
        <v>0</v>
      </c>
      <c r="G13" t="s">
        <v>31</v>
      </c>
      <c r="H13">
        <v>5</v>
      </c>
      <c r="I13" t="s">
        <v>25</v>
      </c>
      <c r="J13">
        <v>10</v>
      </c>
    </row>
    <row r="14" spans="4:18" x14ac:dyDescent="0.25">
      <c r="D14" t="s">
        <v>80</v>
      </c>
      <c r="E14">
        <v>3</v>
      </c>
      <c r="F14">
        <v>15</v>
      </c>
      <c r="G14" t="s">
        <v>31</v>
      </c>
      <c r="H14">
        <v>9</v>
      </c>
      <c r="I14" t="s">
        <v>25</v>
      </c>
      <c r="J14">
        <v>18</v>
      </c>
    </row>
    <row r="15" spans="4:18" x14ac:dyDescent="0.25">
      <c r="D15" t="s">
        <v>81</v>
      </c>
      <c r="E15">
        <v>3</v>
      </c>
      <c r="F15">
        <v>30</v>
      </c>
      <c r="G15" t="s">
        <v>29</v>
      </c>
      <c r="H15">
        <v>6</v>
      </c>
      <c r="I15" t="s">
        <v>31</v>
      </c>
      <c r="J15">
        <v>24</v>
      </c>
      <c r="K15" t="s">
        <v>25</v>
      </c>
      <c r="L15">
        <v>48</v>
      </c>
    </row>
    <row r="16" spans="4:18" x14ac:dyDescent="0.25">
      <c r="D16" t="s">
        <v>82</v>
      </c>
      <c r="E16">
        <v>3</v>
      </c>
      <c r="F16">
        <v>15</v>
      </c>
      <c r="G16" t="s">
        <v>30</v>
      </c>
      <c r="H16">
        <v>4</v>
      </c>
      <c r="I16" t="s">
        <v>32</v>
      </c>
      <c r="J16">
        <v>12</v>
      </c>
      <c r="K16" t="s">
        <v>39</v>
      </c>
      <c r="L16">
        <v>6</v>
      </c>
      <c r="M16" t="s">
        <v>28</v>
      </c>
      <c r="N16">
        <v>32</v>
      </c>
    </row>
    <row r="17" spans="4:18" x14ac:dyDescent="0.25">
      <c r="D17" t="s">
        <v>83</v>
      </c>
      <c r="E17">
        <v>3</v>
      </c>
      <c r="F17">
        <v>15</v>
      </c>
      <c r="G17" t="s">
        <v>30</v>
      </c>
      <c r="H17">
        <v>3</v>
      </c>
      <c r="I17" t="s">
        <v>32</v>
      </c>
      <c r="J17">
        <v>12</v>
      </c>
      <c r="K17" t="s">
        <v>36</v>
      </c>
      <c r="L17">
        <v>3</v>
      </c>
      <c r="M17" t="s">
        <v>28</v>
      </c>
      <c r="N17">
        <v>24</v>
      </c>
    </row>
    <row r="18" spans="4:18" x14ac:dyDescent="0.25">
      <c r="D18" t="s">
        <v>86</v>
      </c>
      <c r="E18">
        <v>10</v>
      </c>
      <c r="F18">
        <v>25</v>
      </c>
      <c r="G18" t="s">
        <v>43</v>
      </c>
      <c r="H18">
        <v>10</v>
      </c>
      <c r="I18" t="s">
        <v>50</v>
      </c>
      <c r="J18">
        <v>10</v>
      </c>
      <c r="K18" t="s">
        <v>46</v>
      </c>
      <c r="L18">
        <v>40</v>
      </c>
      <c r="M18" t="s">
        <v>53</v>
      </c>
      <c r="N18">
        <v>40</v>
      </c>
      <c r="O18" t="s">
        <v>40</v>
      </c>
      <c r="P18">
        <v>80</v>
      </c>
      <c r="Q18" t="s">
        <v>47</v>
      </c>
      <c r="R18">
        <v>80</v>
      </c>
    </row>
    <row r="19" spans="4:18" x14ac:dyDescent="0.25">
      <c r="D19" t="s">
        <v>90</v>
      </c>
      <c r="E19">
        <v>10</v>
      </c>
      <c r="F19">
        <v>0</v>
      </c>
      <c r="G19" t="s">
        <v>46</v>
      </c>
      <c r="H19">
        <v>38</v>
      </c>
      <c r="I19" t="s">
        <v>53</v>
      </c>
      <c r="J19">
        <v>38</v>
      </c>
      <c r="K19" t="s">
        <v>40</v>
      </c>
      <c r="L19">
        <v>60</v>
      </c>
      <c r="M19" t="s">
        <v>47</v>
      </c>
      <c r="N19">
        <v>60</v>
      </c>
    </row>
    <row r="20" spans="4:18" x14ac:dyDescent="0.25">
      <c r="D20" t="s">
        <v>92</v>
      </c>
      <c r="E20">
        <v>3</v>
      </c>
      <c r="F20">
        <v>0</v>
      </c>
      <c r="G20" t="s">
        <v>52</v>
      </c>
      <c r="H20">
        <v>20</v>
      </c>
      <c r="I20" t="s">
        <v>25</v>
      </c>
      <c r="J20">
        <v>35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E6B30-401D-497F-989E-DAD9554B0073}">
  <sheetPr codeName="Sheet4"/>
  <dimension ref="A1:T33"/>
  <sheetViews>
    <sheetView zoomScale="85" zoomScaleNormal="85" workbookViewId="0">
      <selection activeCell="O32" sqref="O32"/>
    </sheetView>
  </sheetViews>
  <sheetFormatPr defaultRowHeight="15" x14ac:dyDescent="0.25"/>
  <cols>
    <col min="1" max="1" width="24.140625" bestFit="1" customWidth="1"/>
    <col min="2" max="2" width="20.140625" style="4" customWidth="1"/>
    <col min="3" max="3" width="22.42578125" style="4" customWidth="1"/>
    <col min="4" max="4" width="34.7109375" style="4" bestFit="1" customWidth="1"/>
    <col min="6" max="6" width="41.28515625" bestFit="1" customWidth="1"/>
    <col min="7" max="7" width="16.5703125" bestFit="1" customWidth="1"/>
    <col min="8" max="8" width="19.42578125" customWidth="1"/>
    <col min="9" max="9" width="24.42578125" bestFit="1" customWidth="1"/>
    <col min="10" max="10" width="22.7109375" customWidth="1"/>
    <col min="11" max="11" width="27.85546875" bestFit="1" customWidth="1"/>
    <col min="12" max="12" width="34.140625" bestFit="1" customWidth="1"/>
    <col min="13" max="13" width="34.42578125" bestFit="1" customWidth="1"/>
    <col min="14" max="14" width="29.85546875" bestFit="1" customWidth="1"/>
    <col min="15" max="15" width="23.140625" bestFit="1" customWidth="1"/>
    <col min="16" max="16" width="25" bestFit="1" customWidth="1"/>
    <col min="17" max="17" width="26.42578125" bestFit="1" customWidth="1"/>
    <col min="18" max="18" width="46.42578125" bestFit="1" customWidth="1"/>
    <col min="19" max="19" width="28.7109375" bestFit="1" customWidth="1"/>
    <col min="20" max="20" width="46.42578125" customWidth="1"/>
  </cols>
  <sheetData>
    <row r="1" spans="1:20" x14ac:dyDescent="0.25">
      <c r="A1" s="11" t="s">
        <v>0</v>
      </c>
      <c r="B1" s="32" t="s">
        <v>78</v>
      </c>
      <c r="C1" s="12" t="s">
        <v>21</v>
      </c>
      <c r="D1" s="32" t="s">
        <v>88</v>
      </c>
    </row>
    <row r="2" spans="1:20" x14ac:dyDescent="0.25">
      <c r="A2" t="s">
        <v>79</v>
      </c>
      <c r="B2" s="4">
        <v>5.7333333333333334</v>
      </c>
    </row>
    <row r="3" spans="1:20" x14ac:dyDescent="0.25">
      <c r="A3" t="s">
        <v>80</v>
      </c>
      <c r="B3" s="4">
        <v>15.32</v>
      </c>
    </row>
    <row r="4" spans="1:20" x14ac:dyDescent="0.25">
      <c r="A4" t="s">
        <v>81</v>
      </c>
      <c r="B4" s="4">
        <v>39.72</v>
      </c>
      <c r="C4" s="4">
        <v>-2.7199999999999989</v>
      </c>
      <c r="D4" s="4">
        <v>41.72</v>
      </c>
    </row>
    <row r="5" spans="1:20" x14ac:dyDescent="0.25">
      <c r="A5" t="s">
        <v>82</v>
      </c>
      <c r="B5" s="4">
        <v>14.466666666666667</v>
      </c>
      <c r="C5" s="4">
        <v>3.5333333333333332</v>
      </c>
      <c r="D5" s="4">
        <v>15.466666666666667</v>
      </c>
    </row>
    <row r="6" spans="1:20" x14ac:dyDescent="0.25">
      <c r="A6" t="s">
        <v>83</v>
      </c>
      <c r="B6" s="4">
        <v>12.6</v>
      </c>
      <c r="C6" s="4">
        <v>-1.5999999999999996</v>
      </c>
      <c r="D6" s="4">
        <v>13.6</v>
      </c>
    </row>
    <row r="7" spans="1:20" x14ac:dyDescent="0.25">
      <c r="A7" t="s">
        <v>86</v>
      </c>
      <c r="B7" s="4">
        <v>37.220000000000006</v>
      </c>
      <c r="C7" s="4">
        <v>-50.200000000000102</v>
      </c>
      <c r="D7" s="4">
        <v>374.2000000000001</v>
      </c>
    </row>
    <row r="8" spans="1:20" x14ac:dyDescent="0.25">
      <c r="A8" t="s">
        <v>90</v>
      </c>
      <c r="B8" s="4">
        <v>18.399999999999999</v>
      </c>
      <c r="C8" s="4">
        <v>-107.99999999999999</v>
      </c>
      <c r="D8" s="4">
        <v>185</v>
      </c>
      <c r="F8" s="34" t="s">
        <v>23</v>
      </c>
      <c r="G8" s="35"/>
    </row>
    <row r="9" spans="1:20" x14ac:dyDescent="0.25">
      <c r="A9" t="s">
        <v>92</v>
      </c>
      <c r="B9" s="4">
        <v>22.233333333333331</v>
      </c>
      <c r="C9" s="4">
        <v>-0.23333333333333073</v>
      </c>
      <c r="D9" s="4">
        <v>24.233333333333331</v>
      </c>
      <c r="F9" s="35"/>
      <c r="G9" s="35"/>
    </row>
    <row r="10" spans="1:20" x14ac:dyDescent="0.25">
      <c r="F10" s="35"/>
      <c r="G10" s="35"/>
      <c r="J10" s="2" t="s">
        <v>87</v>
      </c>
      <c r="K10" t="str">
        <f>IFERROR(VLOOKUP($F15,vals!$A$8:$G$200,4,FALSE),"")</f>
        <v/>
      </c>
    </row>
    <row r="11" spans="1:20" x14ac:dyDescent="0.25">
      <c r="J11" s="10" t="s">
        <v>19</v>
      </c>
      <c r="K11" s="10"/>
      <c r="L11" s="10"/>
    </row>
    <row r="12" spans="1:20" x14ac:dyDescent="0.25">
      <c r="K12" s="2" t="s">
        <v>71</v>
      </c>
    </row>
    <row r="13" spans="1:20" x14ac:dyDescent="0.25">
      <c r="J13" t="s">
        <v>22</v>
      </c>
      <c r="K13" s="3">
        <v>0.05</v>
      </c>
    </row>
    <row r="14" spans="1:20" x14ac:dyDescent="0.25">
      <c r="F14" s="2" t="s">
        <v>6</v>
      </c>
      <c r="G14" s="2" t="s">
        <v>5</v>
      </c>
      <c r="H14" s="2" t="s">
        <v>7</v>
      </c>
      <c r="I14" s="2" t="s">
        <v>64</v>
      </c>
      <c r="J14" s="2" t="s">
        <v>65</v>
      </c>
      <c r="K14" s="2" t="s">
        <v>70</v>
      </c>
      <c r="L14" s="2" t="s">
        <v>66</v>
      </c>
      <c r="M14" s="2" t="s">
        <v>67</v>
      </c>
      <c r="N14" s="2" t="s">
        <v>69</v>
      </c>
      <c r="O14" s="2" t="s">
        <v>68</v>
      </c>
      <c r="P14" s="2" t="s">
        <v>73</v>
      </c>
      <c r="Q14" s="2" t="s">
        <v>63</v>
      </c>
      <c r="R14" s="2" t="s">
        <v>88</v>
      </c>
      <c r="S14" s="2" t="s">
        <v>72</v>
      </c>
      <c r="T14" s="2"/>
    </row>
    <row r="15" spans="1:20" x14ac:dyDescent="0.25">
      <c r="G15" t="str">
        <f>IFERROR(VLOOKUP($F$15,'ingredient table'!$D$13:$R$200,4,FALSE),"")</f>
        <v/>
      </c>
      <c r="H15" t="str">
        <f>IFERROR(VLOOKUP($F$15,'ingredient table'!$D$13:$R$200,5,FALSE),"")</f>
        <v/>
      </c>
      <c r="I15" t="str">
        <f>IFERROR(VLOOKUP($G15,vals!$A$8:$G$200,3,FALSE),"")</f>
        <v/>
      </c>
      <c r="J15" t="str">
        <f>IFERROR(VLOOKUP($F15,vals!$A$8:$G$200,3,FALSE),"")</f>
        <v/>
      </c>
      <c r="K15" s="31" t="e">
        <f>MAX(1,_xlfn.CEILING.MATH(Table134[[#This Row],[market output price/unit]]*K10*K13))/K10</f>
        <v>#VALUE!</v>
      </c>
      <c r="L15" s="4" t="e">
        <f>Table134[[#This Row],[market output price/unit]]-Table134[[#This Row],[expected absolute tax/unit]]</f>
        <v>#VALUE!</v>
      </c>
      <c r="M15" s="5">
        <f>SUMPRODUCT(Table134[input quantity],Table134[market input price/unit])</f>
        <v>0</v>
      </c>
      <c r="N15" s="5" t="str">
        <f>IFERROR(VLOOKUP($F$15,'ingredient table'!$D$13:$R$200,3,FALSE),"")</f>
        <v/>
      </c>
      <c r="O15" t="str">
        <f>IFERROR(VLOOKUP($F$15,'ingredient table'!$D$13:$R$200,2,FALSE),"")</f>
        <v/>
      </c>
      <c r="P15" t="str">
        <f>IFERROR((M15+N15)/O15,"")</f>
        <v/>
      </c>
      <c r="Q15" s="4" t="str">
        <f>IFERROR((L15-P15)*K10,"")</f>
        <v/>
      </c>
      <c r="R15" s="4" t="str">
        <f>IFERROR((MAX(1,_xlfn.CEILING.MATH(P15*K13))/K10+P15)*K10,"")</f>
        <v/>
      </c>
      <c r="S15" s="5" t="e">
        <f>Table134[[#This Row],[market output price/unit]]*K10</f>
        <v>#VALUE!</v>
      </c>
      <c r="T15" s="4"/>
    </row>
    <row r="16" spans="1:20" x14ac:dyDescent="0.25">
      <c r="G16" t="str">
        <f>IFERROR(VLOOKUP($F$15,'ingredient table'!$D$13:$R$200,6,FALSE),"")</f>
        <v/>
      </c>
      <c r="H16" t="str">
        <f>IFERROR(VLOOKUP($F$15,'ingredient table'!$D$13:$R$200,7,FALSE),"")</f>
        <v/>
      </c>
      <c r="I16" t="str">
        <f>IFERROR(VLOOKUP($G16,vals!$A$8:$G$200,3,FALSE),"")</f>
        <v/>
      </c>
      <c r="J16" t="str">
        <f>IFERROR(VLOOKUP($F16,vals!$A$8:$G$200,3,FALSE),"")</f>
        <v/>
      </c>
      <c r="S16" s="5"/>
      <c r="T16" s="5"/>
    </row>
    <row r="17" spans="7:20" x14ac:dyDescent="0.25">
      <c r="G17" t="str">
        <f>IFERROR(VLOOKUP($F$15,'ingredient table'!$D$13:$R$200,8,FALSE),"")</f>
        <v/>
      </c>
      <c r="H17" t="str">
        <f>IFERROR(VLOOKUP($F$15,'ingredient table'!$D$13:$R$200,9,FALSE),"")</f>
        <v/>
      </c>
      <c r="I17" t="str">
        <f>IFERROR(VLOOKUP($G17,vals!$A$8:$G$200,3,FALSE),"")</f>
        <v/>
      </c>
      <c r="J17" t="str">
        <f>IFERROR(VLOOKUP($F17,vals!$A$8:$G$200,3,FALSE),"")</f>
        <v/>
      </c>
      <c r="S17" s="5"/>
      <c r="T17" s="5"/>
    </row>
    <row r="18" spans="7:20" x14ac:dyDescent="0.25">
      <c r="G18" t="str">
        <f>IFERROR(VLOOKUP($F$15,'ingredient table'!$D$13:$R$200,10,FALSE),"")</f>
        <v/>
      </c>
      <c r="H18" t="str">
        <f>IFERROR(VLOOKUP($F$15,'ingredient table'!$D$13:$R$200,11,FALSE),"")</f>
        <v/>
      </c>
      <c r="I18" t="str">
        <f>IFERROR(VLOOKUP($G18,vals!$A$8:$G$200,3,FALSE),"")</f>
        <v/>
      </c>
      <c r="J18" t="str">
        <f>IFERROR(VLOOKUP($F18,vals!$A$8:$G$200,3,FALSE),"")</f>
        <v/>
      </c>
      <c r="S18" s="5"/>
      <c r="T18" s="5"/>
    </row>
    <row r="19" spans="7:20" x14ac:dyDescent="0.25">
      <c r="G19" t="str">
        <f>IFERROR(VLOOKUP($F$15,'ingredient table'!$D$13:$R$200,12,FALSE),"")</f>
        <v/>
      </c>
      <c r="H19" t="str">
        <f>IFERROR(VLOOKUP($F$15,'ingredient table'!$D$13:$R$200,13,FALSE),"")</f>
        <v/>
      </c>
      <c r="I19" t="str">
        <f>IFERROR(VLOOKUP($G19,vals!$A$8:$G$200,3,FALSE),"")</f>
        <v/>
      </c>
      <c r="J19" t="str">
        <f>IFERROR(VLOOKUP($F20,vals!$A$8:$G$200,3,FALSE),"")</f>
        <v/>
      </c>
      <c r="S19" s="5"/>
      <c r="T19" s="5"/>
    </row>
    <row r="20" spans="7:20" x14ac:dyDescent="0.25">
      <c r="G20" t="str">
        <f>IFERROR(VLOOKUP($F$15,'ingredient table'!$D$13:$R$200,12,FALSE),"")</f>
        <v/>
      </c>
      <c r="H20" t="str">
        <f>IFERROR(VLOOKUP($F$15,'ingredient table'!$D$13:$R$200,13,FALSE),"")</f>
        <v/>
      </c>
      <c r="I20" t="str">
        <f>IFERROR(VLOOKUP($G20,vals!$A$8:$G$200,3,FALSE),"")</f>
        <v/>
      </c>
      <c r="J20" t="str">
        <f>IFERROR(VLOOKUP($F21,vals!$A$8:$G$200,3,FALSE),"")</f>
        <v/>
      </c>
      <c r="S20" s="5"/>
    </row>
    <row r="21" spans="7:20" x14ac:dyDescent="0.25">
      <c r="I21" t="str">
        <f>IFERROR(VLOOKUP($G21,vals!$A$8:$G$200,3,FALSE),"")</f>
        <v/>
      </c>
      <c r="J21" t="str">
        <f>IFERROR(VLOOKUP($F21,vals!$A$8:$G$200,3,FALSE),"")</f>
        <v/>
      </c>
    </row>
    <row r="22" spans="7:20" x14ac:dyDescent="0.25">
      <c r="I22" t="str">
        <f>IFERROR(VLOOKUP($G22,vals!$A$8:$G$200,3,FALSE),"")</f>
        <v/>
      </c>
      <c r="J22" t="str">
        <f>IFERROR(VLOOKUP($F22,vals!$A$8:$G$200,3,FALSE),"")</f>
        <v/>
      </c>
      <c r="M22" s="5"/>
      <c r="N22" s="5"/>
      <c r="O22" s="5"/>
      <c r="P22" s="5"/>
    </row>
    <row r="23" spans="7:20" x14ac:dyDescent="0.25">
      <c r="I23" t="str">
        <f>IFERROR(VLOOKUP($G23,vals!$A$8:$G$200,3,FALSE),"")</f>
        <v/>
      </c>
      <c r="J23" t="str">
        <f>IFERROR(VLOOKUP($F23,vals!$A$8:$G$200,3,FALSE),"")</f>
        <v/>
      </c>
    </row>
    <row r="31" spans="7:20" x14ac:dyDescent="0.25">
      <c r="L31" s="3"/>
    </row>
    <row r="32" spans="7:20" x14ac:dyDescent="0.25">
      <c r="L32" s="4"/>
    </row>
    <row r="33" spans="12:12" x14ac:dyDescent="0.25">
      <c r="L33" s="4"/>
    </row>
  </sheetData>
  <mergeCells count="1">
    <mergeCell ref="F8:G10"/>
  </mergeCells>
  <hyperlinks>
    <hyperlink ref="J11" r:id="rId1" display="https://www.ozgrid.com/forum/index.php?thread/134028-loop-through-excel-drop-down-list-and-copy-paste-the-value/" xr:uid="{F406AA80-A867-4CDE-B25E-546C852C9F4D}"/>
  </hyperlinks>
  <pageMargins left="0.7" right="0.7" top="0.75" bottom="0.75" header="0.3" footer="0.3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CA7C434-67C0-4513-AC97-3015B3287884}">
          <x14:formula1>
            <xm:f>vals!$A$7:$A$200</xm:f>
          </x14:formula1>
          <xm:sqref>G21:G23</xm:sqref>
        </x14:dataValidation>
        <x14:dataValidation type="list" allowBlank="1" showInputMessage="1" showErrorMessage="1" xr:uid="{7780A20A-13FF-4856-9047-2566AA35161E}">
          <x14:formula1>
            <xm:f>'ingredient table'!$D$13:$D$212</xm:f>
          </x14:formula1>
          <xm:sqref>F15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F7A5D-D623-4E34-9F63-DD0040D86A4A}">
  <sheetPr codeName="Sheet6"/>
  <dimension ref="A1:W44"/>
  <sheetViews>
    <sheetView tabSelected="1" topLeftCell="F22" zoomScale="85" zoomScaleNormal="85" workbookViewId="0">
      <selection activeCell="I40" sqref="I40"/>
    </sheetView>
  </sheetViews>
  <sheetFormatPr defaultRowHeight="15" x14ac:dyDescent="0.25"/>
  <cols>
    <col min="1" max="1" width="25.5703125" bestFit="1" customWidth="1"/>
    <col min="2" max="2" width="20.140625" style="4" customWidth="1"/>
    <col min="3" max="3" width="29.42578125" style="4" bestFit="1" customWidth="1"/>
    <col min="4" max="4" width="34.7109375" style="4" bestFit="1" customWidth="1"/>
    <col min="6" max="6" width="41.28515625" bestFit="1" customWidth="1"/>
    <col min="7" max="7" width="17.85546875" bestFit="1" customWidth="1"/>
    <col min="8" max="8" width="19.42578125" customWidth="1"/>
    <col min="9" max="9" width="24.42578125" bestFit="1" customWidth="1"/>
    <col min="10" max="11" width="24.42578125" customWidth="1"/>
    <col min="12" max="12" width="32.85546875" bestFit="1" customWidth="1"/>
    <col min="13" max="13" width="25.140625" customWidth="1"/>
    <col min="14" max="14" width="27.85546875" bestFit="1" customWidth="1"/>
    <col min="15" max="15" width="34.140625" bestFit="1" customWidth="1"/>
    <col min="16" max="16" width="34.42578125" bestFit="1" customWidth="1"/>
    <col min="17" max="17" width="29.85546875" bestFit="1" customWidth="1"/>
    <col min="18" max="18" width="23.140625" bestFit="1" customWidth="1"/>
    <col min="19" max="19" width="25" bestFit="1" customWidth="1"/>
    <col min="20" max="20" width="29.28515625" bestFit="1" customWidth="1"/>
    <col min="21" max="21" width="46.42578125" bestFit="1" customWidth="1"/>
    <col min="22" max="22" width="28.7109375" bestFit="1" customWidth="1"/>
    <col min="23" max="23" width="46.42578125" customWidth="1"/>
  </cols>
  <sheetData>
    <row r="1" spans="1:23" x14ac:dyDescent="0.25">
      <c r="A1" s="11" t="s">
        <v>0</v>
      </c>
      <c r="B1" s="32" t="s">
        <v>77</v>
      </c>
      <c r="C1" s="12" t="s">
        <v>95</v>
      </c>
      <c r="D1" s="32" t="s">
        <v>88</v>
      </c>
    </row>
    <row r="2" spans="1:23" x14ac:dyDescent="0.25">
      <c r="A2" t="s">
        <v>79</v>
      </c>
      <c r="B2" s="4">
        <v>5.333333333333333</v>
      </c>
    </row>
    <row r="3" spans="1:23" x14ac:dyDescent="0.25">
      <c r="A3" t="s">
        <v>80</v>
      </c>
      <c r="B3" s="4">
        <v>14.6</v>
      </c>
    </row>
    <row r="4" spans="1:23" x14ac:dyDescent="0.25">
      <c r="A4" t="s">
        <v>81</v>
      </c>
      <c r="B4" s="4">
        <v>37.6</v>
      </c>
      <c r="C4" s="4">
        <v>-0.60000000000000142</v>
      </c>
      <c r="D4" s="4">
        <v>39.6</v>
      </c>
    </row>
    <row r="5" spans="1:23" x14ac:dyDescent="0.25">
      <c r="A5" t="s">
        <v>82</v>
      </c>
      <c r="B5" s="4">
        <v>13.520000000000001</v>
      </c>
      <c r="C5" s="4">
        <v>4.4799999999999986</v>
      </c>
      <c r="D5" s="4">
        <v>14.520000000000001</v>
      </c>
    </row>
    <row r="6" spans="1:23" x14ac:dyDescent="0.25">
      <c r="A6" t="s">
        <v>83</v>
      </c>
      <c r="B6" s="4">
        <v>11.839999999999998</v>
      </c>
      <c r="C6" s="4">
        <v>-0.83999999999999808</v>
      </c>
      <c r="D6" s="4">
        <v>12.839999999999998</v>
      </c>
    </row>
    <row r="7" spans="1:23" x14ac:dyDescent="0.25">
      <c r="A7" t="s">
        <v>86</v>
      </c>
      <c r="B7" s="4">
        <v>36.200000000000003</v>
      </c>
      <c r="C7" s="4">
        <v>-40.000000000000071</v>
      </c>
      <c r="D7" s="4">
        <v>364.00000000000006</v>
      </c>
    </row>
    <row r="8" spans="1:23" x14ac:dyDescent="0.25">
      <c r="A8" t="s">
        <v>90</v>
      </c>
      <c r="B8" s="4">
        <v>17.04</v>
      </c>
      <c r="C8" s="4">
        <v>-94.399999999999991</v>
      </c>
      <c r="D8" s="4">
        <v>171.4</v>
      </c>
      <c r="F8" s="34" t="s">
        <v>89</v>
      </c>
      <c r="G8" s="35"/>
    </row>
    <row r="9" spans="1:23" x14ac:dyDescent="0.25">
      <c r="A9" t="s">
        <v>92</v>
      </c>
      <c r="B9" s="4">
        <v>20.75</v>
      </c>
      <c r="C9" s="4">
        <v>1.25</v>
      </c>
      <c r="D9" s="4">
        <v>22.75</v>
      </c>
      <c r="F9" s="35"/>
      <c r="G9" s="35"/>
      <c r="J9" t="s">
        <v>91</v>
      </c>
    </row>
    <row r="10" spans="1:23" x14ac:dyDescent="0.25">
      <c r="F10" s="35"/>
      <c r="G10" s="35"/>
      <c r="M10" s="2" t="s">
        <v>93</v>
      </c>
      <c r="N10">
        <f>IFERROR(VLOOKUP($F15,vals!$A$8:$G$200,4,FALSE),"")</f>
        <v>10</v>
      </c>
    </row>
    <row r="11" spans="1:23" x14ac:dyDescent="0.25">
      <c r="M11" s="10" t="s">
        <v>19</v>
      </c>
      <c r="N11" s="10"/>
      <c r="O11" s="10"/>
    </row>
    <row r="12" spans="1:23" x14ac:dyDescent="0.25">
      <c r="N12" s="2" t="s">
        <v>71</v>
      </c>
    </row>
    <row r="13" spans="1:23" x14ac:dyDescent="0.25">
      <c r="M13" t="s">
        <v>22</v>
      </c>
      <c r="N13" s="3">
        <v>0.05</v>
      </c>
    </row>
    <row r="14" spans="1:23" x14ac:dyDescent="0.25">
      <c r="F14" s="2" t="s">
        <v>6</v>
      </c>
      <c r="G14" s="2" t="s">
        <v>5</v>
      </c>
      <c r="H14" s="2" t="s">
        <v>7</v>
      </c>
      <c r="I14" s="2" t="s">
        <v>64</v>
      </c>
      <c r="J14" s="2" t="s">
        <v>75</v>
      </c>
      <c r="K14" s="2" t="s">
        <v>74</v>
      </c>
      <c r="L14" s="2" t="s">
        <v>76</v>
      </c>
      <c r="M14" s="2" t="s">
        <v>65</v>
      </c>
      <c r="N14" s="2" t="s">
        <v>70</v>
      </c>
      <c r="O14" s="2" t="s">
        <v>66</v>
      </c>
      <c r="P14" s="2" t="s">
        <v>67</v>
      </c>
      <c r="Q14" s="2" t="s">
        <v>69</v>
      </c>
      <c r="R14" s="2" t="s">
        <v>68</v>
      </c>
      <c r="S14" s="2" t="s">
        <v>73</v>
      </c>
      <c r="T14" s="2" t="s">
        <v>94</v>
      </c>
      <c r="U14" s="2" t="s">
        <v>88</v>
      </c>
      <c r="V14" s="2" t="s">
        <v>72</v>
      </c>
      <c r="W14" s="2"/>
    </row>
    <row r="15" spans="1:23" x14ac:dyDescent="0.25">
      <c r="F15" t="s">
        <v>90</v>
      </c>
      <c r="G15" t="str">
        <f>IFERROR(VLOOKUP($F$15,'ingredient table'!$D$13:$R$200,4,FALSE),"")</f>
        <v>treated meat</v>
      </c>
      <c r="H15">
        <f>IFERROR(VLOOKUP($F$15,'ingredient table'!$D$13:$R$200,5,FALSE),"")</f>
        <v>38</v>
      </c>
      <c r="I15">
        <f>IFERROR(VLOOKUP($G15,vals!$A$8:$G$200,3,FALSE),"")</f>
        <v>1.2</v>
      </c>
      <c r="J15">
        <f>IFERROR(MAX(1,_xlfn.CEILING.MATH(IFERROR(VLOOKUP(G15,vals!$A$8:$G$200,5,FALSE),"")*$N$13)),"")</f>
        <v>1</v>
      </c>
      <c r="K15">
        <f>IFERROR(J15/VLOOKUP($G15,vals!$A$8:$G$200,4,FALSE),"")</f>
        <v>0.1</v>
      </c>
      <c r="L15">
        <f>IFERROR(I15-K15,"")</f>
        <v>1.0999999999999999</v>
      </c>
      <c r="M15">
        <f>IFERROR(VLOOKUP($F15,vals!$A$8:$G$200,3,FALSE),"")</f>
        <v>8.1</v>
      </c>
      <c r="N15" s="36">
        <f>MAX(1,_xlfn.CEILING.MATH(Table1348[[#This Row],[market output price/unit]]*N10*N13))/N10</f>
        <v>0.5</v>
      </c>
      <c r="O15" s="4">
        <f>Table1348[[#This Row],[market output price/unit]]-Table1348[[#This Row],[expected absolute tax/unit]]</f>
        <v>7.6</v>
      </c>
      <c r="P15" s="5">
        <f>SUMPRODUCT(H15:H20,L15:L20)</f>
        <v>170.39999999999998</v>
      </c>
      <c r="Q15" s="5">
        <f>IFERROR(VLOOKUP($F$15,'ingredient table'!$D$13:$R$200,3,FALSE),"")</f>
        <v>0</v>
      </c>
      <c r="R15">
        <f>IFERROR(VLOOKUP($F$15,'ingredient table'!$D$13:$R$200,2,FALSE),"")</f>
        <v>10</v>
      </c>
      <c r="S15">
        <f>IFERROR((P15+Q15)/R15,"")</f>
        <v>17.04</v>
      </c>
      <c r="T15" s="4">
        <f>IFERROR((O15-S15)*N10,"")</f>
        <v>-94.399999999999991</v>
      </c>
      <c r="U15" s="4">
        <f>IFERROR((MAX(1,_xlfn.CEILING.MATH(S15*N13))/N10+S15)*N10,"")</f>
        <v>171.4</v>
      </c>
      <c r="V15" s="5">
        <f>Table1348[[#This Row],[market output price/unit]]*N10</f>
        <v>81</v>
      </c>
      <c r="W15" s="4"/>
    </row>
    <row r="16" spans="1:23" x14ac:dyDescent="0.25">
      <c r="G16" t="str">
        <f>IFERROR(VLOOKUP($F$15,'ingredient table'!$D$13:$R$200,6,FALSE),"")</f>
        <v>redflesh fish</v>
      </c>
      <c r="H16">
        <f>IFERROR(VLOOKUP($F$15,'ingredient table'!$D$13:$R$200,7,FALSE),"")</f>
        <v>38</v>
      </c>
      <c r="I16">
        <f>IFERROR(VLOOKUP($G16,vals!$A$8:$G$200,3,FALSE),"")</f>
        <v>0.8</v>
      </c>
      <c r="J16">
        <f>IFERROR(MAX(1,_xlfn.CEILING.MATH(IFERROR(VLOOKUP(G16,vals!$A$8:$G$200,5,FALSE),"")*$N$13)),"")</f>
        <v>1</v>
      </c>
      <c r="K16">
        <f>IFERROR(J16/VLOOKUP($G16,vals!$A$8:$G$200,4,FALSE),"")</f>
        <v>0.1</v>
      </c>
      <c r="L16">
        <f t="shared" ref="L16:L19" si="0">IFERROR(I16-K16,"")</f>
        <v>0.70000000000000007</v>
      </c>
      <c r="M16" t="str">
        <f>IFERROR(VLOOKUP($F16,vals!$A$8:$G$200,3,FALSE),"")</f>
        <v/>
      </c>
      <c r="V16" s="5"/>
      <c r="W16" s="5"/>
    </row>
    <row r="17" spans="7:23" x14ac:dyDescent="0.25">
      <c r="G17" t="str">
        <f>IFERROR(VLOOKUP($F$15,'ingredient table'!$D$13:$R$200,8,FALSE),"")</f>
        <v>thick raw meat</v>
      </c>
      <c r="H17">
        <f>IFERROR(VLOOKUP($F$15,'ingredient table'!$D$13:$R$200,9,FALSE),"")</f>
        <v>60</v>
      </c>
      <c r="I17">
        <f>IFERROR(VLOOKUP($G17,vals!$A$8:$G$200,3,FALSE),"")</f>
        <v>0.82</v>
      </c>
      <c r="J17">
        <f>IFERROR(MAX(1,_xlfn.CEILING.MATH(IFERROR(VLOOKUP(G17,vals!$A$8:$G$200,5,FALSE),"")*$N$13)),"")</f>
        <v>5</v>
      </c>
      <c r="K17">
        <f>IFERROR(J17/VLOOKUP($G17,vals!$A$8:$G$200,4,FALSE),"")</f>
        <v>0.05</v>
      </c>
      <c r="L17">
        <f t="shared" si="0"/>
        <v>0.76999999999999991</v>
      </c>
      <c r="M17" t="str">
        <f>IFERROR(VLOOKUP($F17,vals!$A$8:$G$200,3,FALSE),"")</f>
        <v/>
      </c>
      <c r="V17" s="5"/>
      <c r="W17" s="5"/>
    </row>
    <row r="18" spans="7:23" x14ac:dyDescent="0.25">
      <c r="G18" t="str">
        <f>IFERROR(VLOOKUP($F$15,'ingredient table'!$D$13:$R$200,10,FALSE),"")</f>
        <v>fish</v>
      </c>
      <c r="H18">
        <f>IFERROR(VLOOKUP($F$15,'ingredient table'!$D$13:$R$200,11,FALSE),"")</f>
        <v>60</v>
      </c>
      <c r="I18">
        <f>IFERROR(VLOOKUP($G18,vals!$A$8:$G$200,3,FALSE),"")</f>
        <v>0.98</v>
      </c>
      <c r="J18">
        <f>IFERROR(MAX(1,_xlfn.CEILING.MATH(IFERROR(VLOOKUP(G18,vals!$A$8:$G$200,5,FALSE),"")*$N$13)),"")</f>
        <v>5</v>
      </c>
      <c r="K18">
        <f>IFERROR(J18/VLOOKUP($G18,vals!$A$8:$G$200,4,FALSE),"")</f>
        <v>0.05</v>
      </c>
      <c r="L18">
        <f t="shared" si="0"/>
        <v>0.92999999999999994</v>
      </c>
      <c r="M18" t="str">
        <f>IFERROR(VLOOKUP($F18,vals!$A$8:$G$200,3,FALSE),"")</f>
        <v/>
      </c>
      <c r="V18" s="5"/>
      <c r="W18" s="5"/>
    </row>
    <row r="19" spans="7:23" x14ac:dyDescent="0.25">
      <c r="G19">
        <f>IFERROR(VLOOKUP($F$15,'ingredient table'!$D$13:$R$200,12,FALSE),"")</f>
        <v>0</v>
      </c>
      <c r="H19">
        <f>IFERROR(VLOOKUP($F$15,'ingredient table'!$D$13:$R$200,13,FALSE),"")</f>
        <v>0</v>
      </c>
      <c r="I19" t="str">
        <f>IFERROR(VLOOKUP($G19,vals!$A$8:$G$200,3,FALSE),"")</f>
        <v/>
      </c>
      <c r="J19" t="str">
        <f>IFERROR(MAX(1,_xlfn.CEILING.MATH(IFERROR(VLOOKUP(G19,vals!$A$8:$G$200,5,FALSE),"")*$N$13)),"")</f>
        <v/>
      </c>
      <c r="K19" t="str">
        <f>IFERROR(J19/VLOOKUP($G19,vals!$A$8:$G$200,4,FALSE),"")</f>
        <v/>
      </c>
      <c r="L19" t="str">
        <f t="shared" si="0"/>
        <v/>
      </c>
      <c r="M19" t="str">
        <f>IFERROR(VLOOKUP($F19,vals!$A$8:$G$200,3,FALSE),"")</f>
        <v/>
      </c>
      <c r="V19" s="5"/>
      <c r="W19" s="5"/>
    </row>
    <row r="20" spans="7:23" x14ac:dyDescent="0.25">
      <c r="G20">
        <f>IFERROR(VLOOKUP($F$15,'ingredient table'!$D$13:$R$200,14,FALSE),"")</f>
        <v>0</v>
      </c>
      <c r="H20">
        <f>IFERROR(VLOOKUP($F$15,'ingredient table'!$D$13:$R$200,15,FALSE),"")</f>
        <v>0</v>
      </c>
      <c r="I20" t="str">
        <f>IFERROR(VLOOKUP($G20,vals!$A$8:$G$200,3,FALSE),"")</f>
        <v/>
      </c>
      <c r="J20" t="str">
        <f>IFERROR(MAX(1,_xlfn.CEILING.MATH(IFERROR(VLOOKUP(G20,vals!$A$8:$G$200,5,FALSE),"")*$N$13)),"")</f>
        <v/>
      </c>
      <c r="K20" t="str">
        <f>IFERROR(J20/VLOOKUP($G20,vals!$A$8:$G$200,4,FALSE),"")</f>
        <v/>
      </c>
      <c r="L20" t="str">
        <f t="shared" ref="L20" si="1">IFERROR(I20-K20,"")</f>
        <v/>
      </c>
      <c r="M20" t="str">
        <f>IFERROR(VLOOKUP($F20,vals!$A$8:$G$200,3,FALSE),"")</f>
        <v/>
      </c>
      <c r="V20" s="5"/>
    </row>
    <row r="21" spans="7:23" x14ac:dyDescent="0.25">
      <c r="I21" t="str">
        <f>IFERROR(VLOOKUP($G21,vals!$A$8:$G$200,3,FALSE),"")</f>
        <v/>
      </c>
      <c r="M21" t="str">
        <f>IFERROR(VLOOKUP($F21,vals!$A$8:$G$200,3,FALSE),"")</f>
        <v/>
      </c>
      <c r="P21" s="5"/>
      <c r="Q21" s="5"/>
      <c r="R21" s="5"/>
      <c r="S21" s="5"/>
    </row>
    <row r="22" spans="7:23" x14ac:dyDescent="0.25">
      <c r="I22" t="str">
        <f>IFERROR(VLOOKUP($G22,vals!$A$8:$G$200,3,FALSE),"")</f>
        <v/>
      </c>
      <c r="M22" t="str">
        <f>IFERROR(VLOOKUP($F22,vals!$A$8:$G$200,3,FALSE),"")</f>
        <v/>
      </c>
    </row>
    <row r="30" spans="7:23" x14ac:dyDescent="0.25">
      <c r="O30" s="3"/>
    </row>
    <row r="31" spans="7:23" x14ac:dyDescent="0.25">
      <c r="O31" s="4"/>
    </row>
    <row r="32" spans="7:23" x14ac:dyDescent="0.25">
      <c r="O32" s="4"/>
    </row>
    <row r="35" spans="6:7" x14ac:dyDescent="0.25">
      <c r="F35">
        <f>26*14</f>
        <v>364</v>
      </c>
      <c r="G35">
        <f>2000-751</f>
        <v>1249</v>
      </c>
    </row>
    <row r="44" spans="6:7" x14ac:dyDescent="0.25">
      <c r="G44">
        <f>1250-360</f>
        <v>890</v>
      </c>
    </row>
  </sheetData>
  <mergeCells count="1">
    <mergeCell ref="F8:G10"/>
  </mergeCells>
  <hyperlinks>
    <hyperlink ref="M11" r:id="rId1" display="https://www.ozgrid.com/forum/index.php?thread/134028-loop-through-excel-drop-down-list-and-copy-paste-the-value/" xr:uid="{4CB41D04-D432-4949-8037-76FD6FF5A475}"/>
  </hyperlinks>
  <pageMargins left="0.7" right="0.7" top="0.75" bottom="0.75" header="0.3" footer="0.3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D41F113-3005-44CF-AFC5-A29815AB2C7B}">
          <x14:formula1>
            <xm:f>'ingredient table'!$D$13:$D$212</xm:f>
          </x14:formula1>
          <xm:sqref>F15</xm:sqref>
        </x14:dataValidation>
        <x14:dataValidation type="list" allowBlank="1" showInputMessage="1" showErrorMessage="1" xr:uid="{0D4F61BE-B72A-43D5-B69E-9DA4F7BB5C47}">
          <x14:formula1>
            <xm:f>vals!$A$7:$A$200</xm:f>
          </x14:formula1>
          <xm:sqref>G21:G22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vals</vt:lpstr>
      <vt:lpstr>ingredient table</vt:lpstr>
      <vt:lpstr>profit calc buy inputs</vt:lpstr>
      <vt:lpstr>profit calc produce inputs</vt:lpstr>
      <vt:lpstr>itemNames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Rowe</dc:creator>
  <cp:lastModifiedBy>Matt Rowe</cp:lastModifiedBy>
  <cp:lastPrinted>2022-02-11T04:29:34Z</cp:lastPrinted>
  <dcterms:created xsi:type="dcterms:W3CDTF">2015-06-05T18:17:20Z</dcterms:created>
  <dcterms:modified xsi:type="dcterms:W3CDTF">2022-03-12T14:20:54Z</dcterms:modified>
</cp:coreProperties>
</file>